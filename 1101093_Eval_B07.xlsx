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po\Downloads\"/>
    </mc:Choice>
  </mc:AlternateContent>
  <xr:revisionPtr revIDLastSave="0" documentId="13_ncr:1_{B3CFB644-445B-4B07-9E7E-9B7A9CE26544}" xr6:coauthVersionLast="47" xr6:coauthVersionMax="47" xr10:uidLastSave="{00000000-0000-0000-0000-000000000000}"/>
  <bookViews>
    <workbookView xWindow="-108" yWindow="-108" windowWidth="23256" windowHeight="12456" xr2:uid="{2521F672-9058-E046-9898-CC8B3E2B105C}"/>
  </bookViews>
  <sheets>
    <sheet name="การแบ่งงาน" sheetId="2" r:id="rId1"/>
    <sheet name="ประเมินงาน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2" l="1"/>
  <c r="R20" i="1"/>
  <c r="R18" i="1" s="1"/>
  <c r="R17" i="1"/>
  <c r="R16" i="1"/>
  <c r="R15" i="1"/>
  <c r="R14" i="1"/>
  <c r="R47" i="1"/>
  <c r="R46" i="1"/>
  <c r="R43" i="1"/>
  <c r="R42" i="1"/>
  <c r="R41" i="1"/>
  <c r="R39" i="1"/>
  <c r="R38" i="1"/>
  <c r="R37" i="1"/>
  <c r="R33" i="1"/>
  <c r="R31" i="1"/>
  <c r="R29" i="1"/>
  <c r="M31" i="1"/>
  <c r="M29" i="1"/>
  <c r="M33" i="1"/>
  <c r="M39" i="1"/>
  <c r="M38" i="1"/>
  <c r="M37" i="1"/>
  <c r="M41" i="1"/>
  <c r="M42" i="1"/>
  <c r="M43" i="1"/>
  <c r="M46" i="1"/>
  <c r="M47" i="1"/>
  <c r="K44" i="1"/>
  <c r="K40" i="1"/>
  <c r="K36" i="1"/>
  <c r="K25" i="1"/>
  <c r="K18" i="1"/>
  <c r="K11" i="1"/>
  <c r="K8" i="1"/>
  <c r="K4" i="1"/>
  <c r="R11" i="1" l="1"/>
  <c r="R40" i="1"/>
  <c r="R44" i="1"/>
  <c r="R36" i="1"/>
  <c r="R25" i="1"/>
  <c r="K34" i="1"/>
  <c r="K21" i="1" s="1"/>
  <c r="K7" i="1" s="1"/>
  <c r="M36" i="1"/>
  <c r="M25" i="1"/>
  <c r="M40" i="1"/>
  <c r="M44" i="1"/>
  <c r="R34" i="1" l="1"/>
  <c r="R21" i="1" s="1"/>
  <c r="R7" i="1" s="1"/>
  <c r="M34" i="1"/>
  <c r="M21" i="1" s="1"/>
  <c r="M7" i="1" s="1"/>
</calcChain>
</file>

<file path=xl/sharedStrings.xml><?xml version="1.0" encoding="utf-8"?>
<sst xmlns="http://schemas.openxmlformats.org/spreadsheetml/2006/main" count="385" uniqueCount="258">
  <si>
    <t>เกณฑ์</t>
  </si>
  <si>
    <t>(Criteria)</t>
  </si>
  <si>
    <t>ทักษะด้าน</t>
  </si>
  <si>
    <t>(Skill Domain)</t>
  </si>
  <si>
    <t>ระดับสมรรถนะ</t>
  </si>
  <si>
    <t>(Performance Levels)</t>
  </si>
  <si>
    <t>รายงาน/โครงงาน</t>
  </si>
  <si>
    <t>S/U</t>
  </si>
  <si>
    <t>ตก</t>
  </si>
  <si>
    <t>(0 คะแนน)</t>
  </si>
  <si>
    <t>ผ่าน</t>
  </si>
  <si>
    <t>(1-100 คะแนน)</t>
  </si>
  <si>
    <t>1) แสดงออกถึงความซื่อสัตย์ สุจริต และการมีจรรยาบรรณในวิชาชีพ</t>
  </si>
  <si>
    <t>ทุจริตในการทำโครงงาน</t>
  </si>
  <si>
    <t>ไม่ทุจริตในการทำโครงงาน (คะแนนพิจาณาตามทักษะด้านอื่น)</t>
  </si>
  <si>
    <t>20 คะแนน</t>
  </si>
  <si>
    <t xml:space="preserve">ตก </t>
  </si>
  <si>
    <t>F (0-49%)</t>
  </si>
  <si>
    <t xml:space="preserve">น้อยมาก </t>
  </si>
  <si>
    <t>D (50-54%)</t>
  </si>
  <si>
    <t>น้อย</t>
  </si>
  <si>
    <t>D+ (55-59%)</t>
  </si>
  <si>
    <t>พอใช้</t>
  </si>
  <si>
    <t>C (60-64%)</t>
  </si>
  <si>
    <t>ดีพอใช้</t>
  </si>
  <si>
    <t>C+ (65-69%)</t>
  </si>
  <si>
    <t>ดี</t>
  </si>
  <si>
    <t>B (70-74%)</t>
  </si>
  <si>
    <t>ดีมาก</t>
  </si>
  <si>
    <t>B+ (75-79%)</t>
  </si>
  <si>
    <t>ดีเยี่ยม</t>
  </si>
  <si>
    <t>A (80-100%)</t>
  </si>
  <si>
    <t>2) แสดงออกถึงความมีมนุษยสัมพันธ์ และทำงานร่วมกับผู้อื่นได้</t>
  </si>
  <si>
    <t>ทำงานร่วมกับผู้อื่นไม่ได้</t>
  </si>
  <si>
    <t>ทำงานร่วมกับผู้อื่นได้น้อยมาก</t>
  </si>
  <si>
    <t>ทำงานร่วมกับผู้อื่นได้น้อย</t>
  </si>
  <si>
    <t>ทำงานร่วมกับผู้อื่นได้พอใช้</t>
  </si>
  <si>
    <t>ทำงานร่วมกับผู้อื่นได้ดี</t>
  </si>
  <si>
    <t>ทำงานร่วมกับผู้อื่นได้ดีมาก</t>
  </si>
  <si>
    <t>ทำงานร่วมกับผู้อื่นได้ดีเยี่ยม</t>
  </si>
  <si>
    <t xml:space="preserve">อ่อนมาก </t>
  </si>
  <si>
    <t>อ่อน</t>
  </si>
  <si>
    <t>3) สื่อสารแนวคิดในการออกแบบและพัฒนาโปรแกรมเชิงออบเจ็กต์ได้</t>
  </si>
  <si>
    <t>ไม่มีสื่อในการนำเสนอ</t>
  </si>
  <si>
    <t>สื่อที่ใช้มีเนื้อหาที่อธิบายแนวคิดได้น้อยมาก และส่วนใหญ่ไม่ถูกต้อง</t>
  </si>
  <si>
    <t>สื่อที่ใช้มีเนื้อหาที่อธิบายแนวคิดได้บ้าง แต่ส่วนใหญ่ไม่ถูกต้อง</t>
  </si>
  <si>
    <t>สื่อที่ใช้มีเนื้อหาที่อธิบายแนวคิดได้ แต่ไม่ถูกต้องทั้งหมด</t>
  </si>
  <si>
    <t>สื่อที่ใช้มีเนื้อหาที่อธิบายแนวคิดได้ถูกต้อง แต่ครอบคลุมบางประเด็น</t>
  </si>
  <si>
    <t>สื่อที่ใช้มีเนื้อหาที่อธิบายแนวคิดได้ถูกต้อง และครอบคลุมเกือบทุกประเด็น</t>
  </si>
  <si>
    <t>สื่อที่ใช้มีเนื้อหาที่อธิบายแนวคิดได้ถูกต้อง ครอบคลุมทุกประเด็น ชัดเจน และเข้าใจง่าย</t>
  </si>
  <si>
    <t>สื่อที่ใช้มีเนื้อหาที่อธิบายแนวคิดได้ถูกต้อง ครอบคลุมทุกประเด็น ชัดเจนดีมาก และเข้าใจง่ายมาก</t>
  </si>
  <si>
    <t>สื่อที่ใช้ออกแบบได้ไม่ถูกต้อง และไม่น่าสนใจ</t>
  </si>
  <si>
    <t>อธิบายการออกแบบและการพัฒนาโครงงานไม่ได้</t>
  </si>
  <si>
    <t>ตอบคำถามไม่ได้</t>
  </si>
  <si>
    <t>ตอบคำถามได้น้อยมาก และส่วนใหญ่ไม่ถูกต้อง</t>
  </si>
  <si>
    <t>ตอบคำถามได้บ้าง แต่ส่วนใหญ่ไม่ถูกต้อง</t>
  </si>
  <si>
    <t>ตอบคำถามได้ แต่ไม่ถูกต้องทั้งหมด</t>
  </si>
  <si>
    <t>ตอบคำถามได้ถูกต้อง แต่ครอบคลุมบางประเด็น</t>
  </si>
  <si>
    <t>ตอบคำถามได้ถูกต้อง และครอบคลุมเกือบทุกประเด็น</t>
  </si>
  <si>
    <t>ตอบคำถามได้ถูกต้อง ครอบคลุมทุกประเด็น ชัดเจน และเข้าใจง่าย</t>
  </si>
  <si>
    <t>ตอบคำถามได้ถูกต้อง ครอบคลุมทุกประเด็น ชัดเจนดีมาก และเข้าใจง่ายมาก</t>
  </si>
  <si>
    <t>10 คะแนน</t>
  </si>
  <si>
    <t>4) ค้นคว้าหาความรู้เชิงวิชาการและวิชาชีพด้านเทคโนโลยีดิจิทัลได้ด้วยตนเอง (พิจารณาจากรายงานการออกแบบโปรแกรมเชิงอ็อบเจกต์และการประยุกต์ใช้โครงสร้างข้อมูล)</t>
  </si>
  <si>
    <t>วิเคราะห์และออกแบบโปรแกรมไม่ถูกต้อง</t>
  </si>
  <si>
    <t>วิเคราะห์และออกแบบโปรแกรมได้ แต่ส่วนใหญ่ไม่ถูกต้อง</t>
  </si>
  <si>
    <t>วิเคราะห์และออกแบบโปรแกรมได้ แต่มีบางส่วนไม่ถูกต้อง</t>
  </si>
  <si>
    <t xml:space="preserve">วิเคราะห์และออกแบบโปรแกรมได้ถูกต้องทั้งหมด </t>
  </si>
  <si>
    <t>วิเคราะห์และออกแบบโปรแกรมได้ถูกต้องทั้งหมด แต่ครอบคลุมบางประเด็น</t>
  </si>
  <si>
    <t>วิเคราะห์และออกแบบโปรแกรมได้ถูกต้องทั้งหมด และครอบคลุมเกือบทุกประเด็น</t>
  </si>
  <si>
    <t>วิเคราะห์และออกแบบโปรแกรมได้ถูกต้องทั้งหมด และครอบคลุมทุกประเด็น แต่สร้างสรรค์เล็กน้อย</t>
  </si>
  <si>
    <t>วิเคราะห์และออกแบบโปรแกรมได้ถูกต้อง ครอบคลุมทุกประเด็น และสร้างสรรค์มาก</t>
  </si>
  <si>
    <t>50 คะแนน</t>
  </si>
  <si>
    <t>(ไม่ส่งโครงงาน)</t>
  </si>
  <si>
    <t>(1-50 คะแนน)</t>
  </si>
  <si>
    <t>(ส่งโครงงานคะแนนพิจารณาตามทักษะย่อย)</t>
  </si>
  <si>
    <t>5) พัฒนาโครงงานโปรแกรมเชิงอ็อบเจกต์เพื่อออกแบบโครงสร้างข้อมูลได้</t>
  </si>
  <si>
    <t xml:space="preserve">5.1) ปริมาณงานและขอบเขต </t>
  </si>
  <si>
    <t xml:space="preserve">(Project Scope) </t>
  </si>
  <si>
    <t xml:space="preserve">มีน้อยกว่า 4 คลาส </t>
  </si>
  <si>
    <t>มี 4-5 คลาส</t>
  </si>
  <si>
    <t>มี 6-7 คลาส</t>
  </si>
  <si>
    <t>มี 8-9 คลาส</t>
  </si>
  <si>
    <t>มี 10 คลาสขึ้นไป</t>
  </si>
  <si>
    <t>มีน้อยกว่า 6 เมท็อด</t>
  </si>
  <si>
    <t>มี 6-7 เมท็อด</t>
  </si>
  <si>
    <t>มี 8-9 เมท็อด</t>
  </si>
  <si>
    <t>มี 8-9 เมท็อดขึ้นไป</t>
  </si>
  <si>
    <t>มี 10-11 เมท็อด</t>
  </si>
  <si>
    <t>มี 12 เมท็อดขึ้นไป</t>
  </si>
  <si>
    <t>ไม่มีการประยุกต์ใช้ทั้งการเรียงลำดับและการค้นหาข้อมูล</t>
  </si>
  <si>
    <t>มีการประยุกต์ใช้การเรียงลำดับหรือการค้นหาข้อมูลอย่างใดอย่างหนึ่ง</t>
  </si>
  <si>
    <t>มีการประยุกต์ใช้การเรียงลำดับหรือการค้นหาข้อมูลอย่างใดอย่างหนึ่งแต่ครอบคลุมงานที่สำคัญ</t>
  </si>
  <si>
    <t>มีการประยุกต์ใช้ทั้งการเรียงลำดับและการค้นหาข้อมูล</t>
  </si>
  <si>
    <t>มีการประยุกต์ใช้ทั้งการเรียงลำดับและการค้นหาข้อมูลครอบคลุมงานที่สำคัญบางส่วน</t>
  </si>
  <si>
    <t>มีการประยุกต์ใช้ทั้งการเรียงลำดับและการค้นหาข้อมูลครอบคลุมงานที่สำคัญทั้งหมด</t>
  </si>
  <si>
    <t>มีการประยุกต์ใช้ทั้งการเรียงลำดับและการค้นหาข้อมูลครอบคลุมงานที่สำคัญทั้งหมด และสร้างสรรค์เล็กน้อย</t>
  </si>
  <si>
    <t>มีการประยุกต์ใช้ทั้งการเรียงลำดับและการค้นหาข้อมูลครอบคลุมงานที่สำคัญทั้งหมด และสร้างสรรค์มาก</t>
  </si>
  <si>
    <t>30 คะแนน</t>
  </si>
  <si>
    <t>5.2) คุณภาพและความสมบูรณ์ของงาน (Quality and Completeness)</t>
  </si>
  <si>
    <t>ไม่มีแนวคิด Inheritance</t>
  </si>
  <si>
    <t>มีแนวคิด Inheritance 1 แห่ง แต่ไม่เข้าใจ</t>
  </si>
  <si>
    <t>มีแนวคิด Inheritanceหลายแห่ง  แต่ไม่เข้าใจ</t>
  </si>
  <si>
    <t>มีแนวคิด Inheritance 1 แห่ง และเข้าใจปานกลาง</t>
  </si>
  <si>
    <t>มีแนวคิด Inheritance หลายแห่ง และเข้าใจปานกลาง</t>
  </si>
  <si>
    <t>มีแนวคิด Inheritance 1 แห่ง และเข้าใจอย่างชัดเจน</t>
  </si>
  <si>
    <t>มีแนวคิด Inheritance หลายแห่ง เข้าใจอย่างชัดเจน และสร้างสรรค์เล็กน้อย</t>
  </si>
  <si>
    <t>มีแนวคิด Inheritance หลายแห่ง เข้าใจอย่างชัดเจน และสร้างสรรค์มาก</t>
  </si>
  <si>
    <t xml:space="preserve"> - ใช้แนวคิด Polymorphism ในการพัฒนา</t>
  </si>
  <si>
    <t>ไม่มีแนวคิด Polymorphism</t>
  </si>
  <si>
    <t>มีแนวคิด Polymorphism 1 แห่ง แต่ไม่เข้าใจ</t>
  </si>
  <si>
    <t>มีแนวคิด Polymorphism หลายแห่ง แต่ไม่เข้าใจ</t>
  </si>
  <si>
    <t>มีแนวคิด Polymorphism 1 แห่ง และเข้าใจปานกลาง</t>
  </si>
  <si>
    <t>มีแนวคิด Polymorphism หลายแห่ง และเข้าใจปานกลาง</t>
  </si>
  <si>
    <t>มีแนวคิด Polymorphism 1 แห่ง และเข้าใจอย่างชัดเจน</t>
  </si>
  <si>
    <t>มีแนวคิด Polymorphism หลายแห่ง เข้าใจอย่างชัดเจน และสร้างสรรค์เล็กน้อย</t>
  </si>
  <si>
    <t>มีแนวคิด Polymorphism หลายแห่ง เข้าใจอย่างชัดเจน และสร้างสรรค์มาก</t>
  </si>
  <si>
    <t xml:space="preserve"> - มีการนำเข้าข้อมูลจากไฟล์ (File Input)</t>
  </si>
  <si>
    <t>ไม่มีการนำเข้าข้อมูลจากไฟล์</t>
  </si>
  <si>
    <t>มีการนำเข้าข้อมูลจากไฟล์ แต่มีข้อผิดพลาดจำนวนมาก</t>
  </si>
  <si>
    <t>มีการนำเข้าข้อมูลจากไฟล์ แต่มีข้อผิดพลาดปานกลาง</t>
  </si>
  <si>
    <t>มีการนำเข้าข้อมูลจากไฟล์ มีข้อผิดพลาดปานกลาง แต่เหมาะสมกับงาน</t>
  </si>
  <si>
    <t xml:space="preserve">มีการนำเข้าข้อมูลจากไฟล์ และไม่พบข้อผิดพลาด </t>
  </si>
  <si>
    <t>การนำเข้าข้อมูลจากไฟล์ ไม่พบข้อผิดพลาด แต่มีความเหมาะสมกับงานน้อยมาก</t>
  </si>
  <si>
    <t>การนำเข้าข้อมูลจากไฟล์ ไม่พบข้อผิดพลาด และมึความเหมาะสมกับงานปานกลาง</t>
  </si>
  <si>
    <t>มีการนำเข้าข้อมูลจากไฟล์ ไม่พบข้อผิดพลาด และมึความเหมาะสมกับงานมาก</t>
  </si>
  <si>
    <t>ไม่มีการใช้เทคนิคในการเรียงลำดับข้อมูล</t>
  </si>
  <si>
    <t>มีการใช้เทคนิคในการเรียงลำดับข้อมูล 1 แห่ง แต่ไม่เข้าใจ</t>
  </si>
  <si>
    <t>มีการใช้เทคนิคในการเรียงลำดับข้อมูล หลายแห่ง แต่ไม่เข้าใจ</t>
  </si>
  <si>
    <t>มีการใช้เทคนิคในการเรียงลำดับข้อมูล 1 แห่ง และเข้าใจปานกลาง</t>
  </si>
  <si>
    <t>มีการใช้เทคนิคในการเรียงลำดับข้อมูลหลายแห่ง และเข้าใจปานกลาง</t>
  </si>
  <si>
    <t>มีการใช้เทคนิคในการเรียงลำดับข้อมูล 1 แห่ง และเข้าใจอย่างชัดเจน</t>
  </si>
  <si>
    <t>มีการใช้เทคนิคในการเรียงลำดับข้อมูลหลายแห่ง เข้าใจอย่างชัดเจน และสร้างสรรค์เล็กน้อย</t>
  </si>
  <si>
    <t>มีการใช้เทคนิคในการเรียงลำดับข้อมูลหลายแห่ง เข้าใจอย่างชัดเจน และสร้างสรรค์มาก</t>
  </si>
  <si>
    <t>ไม่มีการใช้เทคนิคในการค้นหาข้อมูล</t>
  </si>
  <si>
    <t>มีการใช้เทคนิคในการค้นหาข้อมูล 1 แห่ง แต่ไม่เข้าใจ</t>
  </si>
  <si>
    <t>มีการใช้เทคนิคในการค้นหาข้อมูล หลายแห่ง แต่ไม่เข้าใจ</t>
  </si>
  <si>
    <t>มีการใช้เทคนิคในการค้นหาข้อมูล 1 แห่ง และเข้าใจปานกลาง</t>
  </si>
  <si>
    <t>มีการใช้เทคนิคในการค้นหาข้อมูลหลายแห่ง และเข้าใจปานกลาง</t>
  </si>
  <si>
    <t>มีการใช้เทคนิคในการค้นหาข้อมูล 1 แห่ง และเข้าใจอย่างชัดเจน</t>
  </si>
  <si>
    <t>มีการใช้เทคนิคในการค้นหาข้อมูลหลายแห่ง เข้าใจอย่างชัดเจน และสร้างสรรค์เล็กน้อย</t>
  </si>
  <si>
    <t>มีการใช้เทคนิคในการค้นหาข้อมูลหลายแห่ง เข้าใจอย่างชัดเจน และสร้างสรรค์มาก</t>
  </si>
  <si>
    <t>5.3) ความคิดสร้างสรรค์ และปริมาณผลกระทบที่โครงงานมีต่อชุมชน (Creativity and Impact)</t>
  </si>
  <si>
    <t>โครงงานไม่มีความน่าสนใจและไม่มีความคิดสร้างสรรค์ในการออกแบบ</t>
  </si>
  <si>
    <t>โครงงานมีความน่าสนใจและมีความคิดสร้างสรรค์ในการออกแบบน้อยมาก</t>
  </si>
  <si>
    <t>โครงงานมีความน่าสนใจและมีความคิดสร้างสรรค์ในการออกแบบน้อย</t>
  </si>
  <si>
    <t>โครงงานมีความน่าสนใจและมีความคิดสร้างสรรค์ในการออกแบบปานกลาง</t>
  </si>
  <si>
    <t>โครงงานไม่ส่งผลกระทบต่อบุคคลใดหรือชุมชนใด</t>
  </si>
  <si>
    <t>โครงงานสามารถส่งผลกระทบต่อประชาชนหรือชุมชนได้น้อยมาก</t>
  </si>
  <si>
    <t>โครงงานสามารถส่งผลกระทบต่อประชาชนหรือชุมชนได้น้อย</t>
  </si>
  <si>
    <t>โครงงานสามารถส่งผลกระทบต่อประชาชนหรือชุมชนได้ปานกลาง</t>
  </si>
  <si>
    <t>โครงงานสามารถส่งผลกระทบต่อประชาชนหรือชุมชนได้ในระดับมาก</t>
  </si>
  <si>
    <r>
      <t xml:space="preserve">(5 คะแนน) </t>
    </r>
    <r>
      <rPr>
        <sz val="16"/>
        <color rgb="FF000000"/>
        <rFont val="TH SarabunPSK"/>
        <family val="2"/>
      </rPr>
      <t xml:space="preserve">สื่อที่ใช้ออกแบบได้อย่างถูกต้อง และน่าสนใจ </t>
    </r>
  </si>
  <si>
    <r>
      <t xml:space="preserve">(5 คะแนน) </t>
    </r>
    <r>
      <rPr>
        <sz val="16"/>
        <color rgb="FF000000"/>
        <rFont val="TH SarabunPSK"/>
        <family val="2"/>
      </rPr>
      <t>มีการประยุกต์ใช้แนวคิดการเขียนโปรแกรมเชิงอ็อบเจกต์ อย่างน้อยดังนี้</t>
    </r>
  </si>
  <si>
    <r>
      <t xml:space="preserve">(15 คะแนน) </t>
    </r>
    <r>
      <rPr>
        <sz val="16"/>
        <color rgb="FF000000"/>
        <rFont val="TH SarabunPSK"/>
        <family val="2"/>
      </rPr>
      <t>คุณภาพและความสมบูรณ์ของแนวคิดเชิงอ็อบเจกต์ อย่างน้อยดังนี้</t>
    </r>
  </si>
  <si>
    <r>
      <t xml:space="preserve">(15 คะแนน) </t>
    </r>
    <r>
      <rPr>
        <sz val="16"/>
        <color rgb="FF000000"/>
        <rFont val="TH SarabunPSK"/>
        <family val="2"/>
      </rPr>
      <t>คุณภาพและความสมบูรณ์ของการใช้โครงสร้างข้อมูล อย่างน้อยดังนี้</t>
    </r>
  </si>
  <si>
    <t>ประเมินตนเองโดยนักศึกษา</t>
  </si>
  <si>
    <t>เกรด</t>
  </si>
  <si>
    <t>คะแนนรวมทั้งหมด 100 คะแนน</t>
  </si>
  <si>
    <t>คะแนน</t>
  </si>
  <si>
    <r>
      <t xml:space="preserve"> - </t>
    </r>
    <r>
      <rPr>
        <sz val="16"/>
        <color rgb="FF000000"/>
        <rFont val="TH SarabunPSK"/>
        <family val="2"/>
      </rPr>
      <t>ใช้แนวคิด Aggregation/</t>
    </r>
    <r>
      <rPr>
        <b/>
        <sz val="16"/>
        <color rgb="FF000000"/>
        <rFont val="TH SarabunPSK"/>
        <family val="2"/>
      </rPr>
      <t xml:space="preserve"> Composition ในการพัฒนา</t>
    </r>
  </si>
  <si>
    <t>ไม่มีแนวคิด Aggregation/ Composition</t>
  </si>
  <si>
    <t>มีแนวคิด Aggregation/ Composition หลายแห่ง แต่ไม่เข้าใจ</t>
  </si>
  <si>
    <t>มีแนวคิด Aggregation/ Composition หลายแห่ง และเข้าใจปานกลาง</t>
  </si>
  <si>
    <t>มีแนวคิด Aggregation/ Composition หลายแห่ง เข้าใจอย่างชัดเจน และสร้างสรรค์เล็กน้อย</t>
  </si>
  <si>
    <t>มีแนวคิด Aggregation/ Composition หลายแห่ง เข้าใจอย่างชัดเจน และสร้างสรรค์มาก</t>
  </si>
  <si>
    <t>A</t>
  </si>
  <si>
    <t>B+</t>
  </si>
  <si>
    <t>B</t>
  </si>
  <si>
    <t>C+</t>
  </si>
  <si>
    <t>C</t>
  </si>
  <si>
    <t>D+</t>
  </si>
  <si>
    <t>D</t>
  </si>
  <si>
    <t>F</t>
  </si>
  <si>
    <t>ประเมินโดยอาจารย์</t>
  </si>
  <si>
    <t>ผู้ประเมิน</t>
  </si>
  <si>
    <t>อ.ที่ปรึกษา</t>
  </si>
  <si>
    <t>อ.ศุภกฤษฏิ์</t>
  </si>
  <si>
    <t>อ.จิติมนต์</t>
  </si>
  <si>
    <t>อ.ธรรมศักดิ์</t>
  </si>
  <si>
    <t>ลำดับ</t>
  </si>
  <si>
    <t>รหัสนักศึกษา</t>
  </si>
  <si>
    <t>ชื่อ-สกุล</t>
  </si>
  <si>
    <t>งานที่รับผิดชอบ</t>
  </si>
  <si>
    <t>ร้อยละ</t>
  </si>
  <si>
    <t>รายละเอียดการแบ่งงานภายในกลุ่ม</t>
  </si>
  <si>
    <t>รวมร้อยละของงาน</t>
  </si>
  <si>
    <t>รวมแล้วจะต้องได้เท่ากับ 100</t>
  </si>
  <si>
    <t>อธิบายการออกแบบและการพัฒนาโครงงานได้น้อยมาก และถูกต้องน้อยมาก</t>
  </si>
  <si>
    <t>อธิบายการออกแบบและการพัฒนาโครงงานได้บ้าง แต่ถูกต้องน้อยมาก</t>
  </si>
  <si>
    <t xml:space="preserve">อธิบายการออกแบบและการพัฒนาโครงงานได้บ้าง และถูกต้องเป็นส่วนใหญ่ </t>
  </si>
  <si>
    <t>อธิบายการออกแบบและการพัฒนาโครงงานได้ถูกต้องปานกลาง และครอบคลุมบางประเด็น</t>
  </si>
  <si>
    <t>อธิบายการออกแบบและการพัฒนาโครงงานได้ถูกต้องเกือบทั้งหมด และครอบคลุมเกือบทุกประเด็น</t>
  </si>
  <si>
    <t>อธิบายการออกแบบและการพัฒนาโครงงานได้ถูกต้องเกือบทั้งหมด ครอบคลุมทุกประเด็น ชัดเจน และเข้าใจง่าย</t>
  </si>
  <si>
    <t>อธิบายการออกแบบและการพัฒนาโครงงานได้ถูกต้องทั้งหมด ครอบคลุมทุกประเด็น ชัดเจนดีมาก และเข้าใจง่ายมาก</t>
  </si>
  <si>
    <t>คลาสไม่ครอบคลุมขอบเขตของงานที่สำคัญ</t>
  </si>
  <si>
    <t>คลาสครอบคลุมขอบเขตของงานที่สำคัญทั้งหมด</t>
  </si>
  <si>
    <t>เมท๊อดไม่ครอบคลุมขอบเขตของงานที่สำคัญ</t>
  </si>
  <si>
    <t>เมท๊อดครอบคลุมขอบเขตของงานที่สำคัญทั้งหมด</t>
  </si>
  <si>
    <t>โครงงานมีความน่าสนใจและมีความคิดสร้างสรรค์ในการออกแบบปานกลางค่อนไปทางมาก</t>
  </si>
  <si>
    <t>โครงงานมีความน่าสนใจและมีความคิดสร้างสรรค์ในการออกแบบมาก</t>
  </si>
  <si>
    <t>โครงงานมีความน่าสนใจและมีความคิดสร้างสรรค์ในการออกแบบมากที่สุด</t>
  </si>
  <si>
    <t>โครงงานมีความน่าสนใจมากที่สุด และมีความคิดสร้างสรรค์ในการออกแบบมากที่สุด และสามารถเป็นตัวอย่างที่ดี</t>
  </si>
  <si>
    <t>โครงงานสามารถส่งผลกระทบต่อประชาชนหรือชุมชนได้ในระดับปานกลางค่อนไปทางมาก</t>
  </si>
  <si>
    <t>รงงานสามารถส่งผลกระทบต่อประชาชนหรือชุมชนได้ในระดับมากที่สุด</t>
  </si>
  <si>
    <t>โครงงานสามารถส่งผลกระทบต่อประชาชนหรือชุมชนได้ในระดับมากที่สุด และสามารถนำไปปฏิบัติได้</t>
  </si>
  <si>
    <t>ทำงานร่วมกับผู้อื่นได้ปานกลาง</t>
  </si>
  <si>
    <t xml:space="preserve">(5 คะแนน) สื่อที่ใช้มีเนื้อหาถูกต้อง </t>
  </si>
  <si>
    <t>(5 คะแนน) สื่อสารได้อย่างชัดเจน เข้าใจง่าย</t>
  </si>
  <si>
    <t>(5 คะแนน) ตอบคำถามได้อย่างถูกต้อง</t>
  </si>
  <si>
    <t xml:space="preserve"> - จำนวนคลาสทั้งหมด รวมคลาสย่อย (Class) (2.5 คะแนน)</t>
  </si>
  <si>
    <t xml:space="preserve"> - จำนวนเมท็อดทั้งหมดรวมทุกคลาส (Method) (2.5 คะแนน)</t>
  </si>
  <si>
    <t>(5 คะแนน) การประยุกต์ใช้โครงสร้างข้อมูล</t>
  </si>
  <si>
    <t xml:space="preserve"> - ใช้แนวคิด Inheritance ในการพัฒนา</t>
  </si>
  <si>
    <t xml:space="preserve"> - มีการใช้เทคนิคในการเรียงลำดับข้อมูล (Data Sorting)</t>
  </si>
  <si>
    <t>- มีการใช้เทคนิคในการค้นหาข้อมูล (Data Searching)</t>
  </si>
  <si>
    <t>(5 คะแนน) มีความคิดสร้างสรรค์ในการออกแบบ (Creativity)</t>
  </si>
  <si>
    <t>(5 คะแนน) ปริมาณผลกระทบต่อชุมชน (Impact)</t>
  </si>
  <si>
    <t>คะแนนรวมเฉพาะส่วนที่นักศึกษาประเมินตนเอง 50 คะแนน (ส่วนอีก 20 คะแนนเป็นส่วนของการนำเสนอโครงงาน 30 คะแนนจากการประเมินของอาจารย์ที่ปรึกษา)</t>
  </si>
  <si>
    <t>S</t>
  </si>
  <si>
    <t>U</t>
  </si>
  <si>
    <t>สื่อที่ใช้ออกแบบได้ถูกต้องบางสวน และน่าสนใจมาก</t>
  </si>
  <si>
    <t>สื่อที่ใช้ออกแบบได้ถูกต้องปานกลาง แต่น่าสนใจน้อย</t>
  </si>
  <si>
    <t>สื่อที่ใช้ออกแบบได้ถูกต้องปานกลาง และน่าสนใจมาก</t>
  </si>
  <si>
    <t>สื่อที่ใช้ออกแบบได้ถูกต้องส่วนใหญ่ แต่น่าสนใจน้อย</t>
  </si>
  <si>
    <t>สื่อที่ใช้ออกแบบได้ถูกต้องส่วนใหญ่ และน่าสนใจมาก</t>
  </si>
  <si>
    <t>สื่อที่ใช้ออกแบบได้ถูกต้องทั้งหมด และน่าสนใจมากที่สุด</t>
  </si>
  <si>
    <t>สื่อที่ใช้ออกแบบได้ถูกต้องบางส่วน แต่น่าสนใจน้อย</t>
  </si>
  <si>
    <t>มีแนวคิด  Aggregation/ Composition 1 แห่ง แต่ไม่เข้าใจ</t>
  </si>
  <si>
    <t>มีแนวคิด Aggregation/ Composition 1 แห่ง และเข้าใจปานกลาง</t>
  </si>
  <si>
    <t>มีแนวคิด Aggregation/ Composition 1 แห่ง และเข้าใจอย่างชัดเจน</t>
  </si>
  <si>
    <t>คำชี้แจงเพิ่มเติม (ถ้ามี)</t>
  </si>
  <si>
    <t>กรอกเกรดด้วยตัวอักษรตัวใหญ่ (A/B+/B/C+/C/D+/D/F)  บันทึกข้อมูลได้เฉพาะช่องสีเหลือง</t>
  </si>
  <si>
    <t>กรอกเกรดด้วยตัวอักษรตัวใหญ่ (A/B+/B/C+/C/D+/D/F)  บันทึกข้อมูลได้เฉพาะช่องสีขาว</t>
  </si>
  <si>
    <t>อ.ที่ปรึกษาให้คะแนนที่ฟอร์มรายงานความก้าวหน้า</t>
  </si>
  <si>
    <t>คะแนนประเมินส่วนของโครงงานรวม 80 คะแนน ส่วนอีก 20 คะแนนเป็นการประเมินการทำงานร่วมกัน</t>
  </si>
  <si>
    <t>B6701598</t>
  </si>
  <si>
    <t>นายคนธ์พงษ์ เชาวน์ธนากิตติ์</t>
  </si>
  <si>
    <t>นายวิธวินท์ ระวังจังหรีด</t>
  </si>
  <si>
    <t xml:space="preserve"> B6703165</t>
  </si>
  <si>
    <t>B6703271</t>
  </si>
  <si>
    <t>นายชิติพัทธ์ สีสุด</t>
  </si>
  <si>
    <t xml:space="preserve"> B6703370</t>
  </si>
  <si>
    <t>นายวีรฉัตร จินะปริวัตอาภรณ์</t>
  </si>
  <si>
    <t>นายวรรนเรศ ขุมพลกรัง</t>
  </si>
  <si>
    <t xml:space="preserve"> B6728120</t>
  </si>
  <si>
    <t>ระบบการค้นหาของโปรแกรมเรา สามารถค้นหาวันที่ และสถานที่ ในส่วนของผุ้ใช้ อาจจะไม่ได้ครอบคลุมข้อมูลทั้งหมดครับ</t>
  </si>
  <si>
    <t>มีคลาสทั้งหมดประมาณ 47  class Top-level class 1 ไฟล์ = 1 คลาสหลัก 34 class
Inner class มีทั้งหมด 13 class
รวมทั้งหมด: 47 classes</t>
  </si>
  <si>
    <t>รวมทั้งหมด 393  Method  คือ Constructor ปกติประมาณ: 42   และ Method ปกติประมาณ: 351</t>
  </si>
  <si>
    <t>มี Inheritance occurrences ทั้งหมด = 46 คือ extends = 34 implements = 12</t>
  </si>
  <si>
    <t>มีทั้งหมดประมาณ 102  แยกเป็น
Method Overriding = 95 อัน
Method Overloading = 7 อัน</t>
  </si>
  <si>
    <t xml:space="preserve"> Composition และ Aggregation แยกออกเป็น
Composition = 8 
Aggregation = 13  </t>
  </si>
  <si>
    <t>Source มีทั้งหมด
จำนวน = 4 แหล่ง คือ
ข้อมูลผู้โดยสาร
ข้อมูลคนขับ
ข้อมูลรอบรถ
 ข้อมูลการจอง</t>
  </si>
  <si>
    <t xml:space="preserve">Search มีทั้งหมด
จำนวน = 7 แหล่ง คือ
ค้นหา Passenger จาก ID
ค้นหา Driver จาก ID
ค้นหา Schedule
ค้นหา Booking
ค้นหาประวัติการจองของผู้ใช้
ค้นหาข้อมูลจาก List
ค้นหาข้อมูลจากสถานะ </t>
  </si>
  <si>
    <t>1) ออกแบบ ธีมสี  และ Custom Components เช่น RoundedPanel, ปุ่มโค้ง
2) พัฒนา Custom Dialog / Popup แจ้งเตือน
3) จัดหา Graphic Assets (Icons) และจัดทำ รูปเล่มรายงานโครงงาน</t>
  </si>
  <si>
    <t>1) พัฒนา ระบบจัดการคิวผู้โดยสารและผังที่นั่ง 
2) พัฒนา Logic การคำนวณเวลาเดินทางและสถานะรถ (Station Status)
3) พัฒนา ระบบ Booking การจองที่นั่งและการตัดสต็อกที่นั่ง</t>
  </si>
  <si>
    <t xml:space="preserve">1) ออกแบบ Class Diagram และโครงสร้าง Model ของระบบ 
2) พัฒนา SystemManager สำหรับจัดการข้อมูลกลางของระบบ
3) พัฒนา ระบบบันทึก/โหลดข้อมูล (File I/O) ด้วยไฟล์ฐานข้อมูล </t>
  </si>
  <si>
    <t>1) ออกแบบและพัฒนา GUI ฝั่งผู้โดยสาร 
2) พัฒนา ระบบ Login / Register สำหรับผู้โดยสาร
3) แสดงตารางเดินรถ สถานะรถ และข้อมูลการจองฝั่งผู้ใช้</t>
  </si>
  <si>
    <t>1) ออกแบบและพัฒนา GUI ฝั่งคนขับ 
2) พัฒนา ระบบ Login / Register สำหรับคนขับ
3) เชื่อมการแสดงผลข้อมูลรอบเวลาและสถานะการเดินรถ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</si>
</sst>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  <font>
      <sz val="16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2"/>
      <color theme="1"/>
      <name val="Calibri"/>
      <family val="2"/>
      <scheme val="minor"/>
    </font>
    <font>
      <b/>
      <sz val="22"/>
      <color theme="1"/>
      <name val="TH SarabunPSK"/>
      <family val="2"/>
    </font>
    <font>
      <i/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6"/>
      <color rgb="FFC00000"/>
      <name val="TH SarabunPSK"/>
      <family val="2"/>
    </font>
    <font>
      <b/>
      <sz val="16"/>
      <color theme="4"/>
      <name val="TH SarabunPSK"/>
      <family val="2"/>
    </font>
    <font>
      <b/>
      <sz val="16"/>
      <color theme="5"/>
      <name val="TH SarabunPSK"/>
      <family val="2"/>
    </font>
    <font>
      <b/>
      <sz val="16"/>
      <color theme="1"/>
      <name val="TH SarabunPSK"/>
      <family val="2"/>
      <charset val="222"/>
    </font>
    <font>
      <b/>
      <sz val="12"/>
      <color theme="1"/>
      <name val="TH SarabunPSK"/>
      <family val="2"/>
      <charset val="22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99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2" fillId="2" borderId="3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5" borderId="2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9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9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 wrapText="1"/>
    </xf>
    <xf numFmtId="0" fontId="2" fillId="7" borderId="10" xfId="0" applyFont="1" applyFill="1" applyBorder="1" applyAlignment="1">
      <alignment horizontal="center" vertical="top" wrapText="1"/>
    </xf>
    <xf numFmtId="0" fontId="1" fillId="7" borderId="10" xfId="0" applyFont="1" applyFill="1" applyBorder="1" applyAlignment="1">
      <alignment horizontal="center" vertical="top" wrapText="1"/>
    </xf>
    <xf numFmtId="0" fontId="2" fillId="5" borderId="10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2" fillId="5" borderId="9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vertical="top" wrapText="1"/>
    </xf>
    <xf numFmtId="0" fontId="1" fillId="8" borderId="5" xfId="0" applyFont="1" applyFill="1" applyBorder="1" applyAlignment="1">
      <alignment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left" vertical="top" wrapText="1"/>
    </xf>
    <xf numFmtId="0" fontId="2" fillId="9" borderId="10" xfId="0" applyFont="1" applyFill="1" applyBorder="1" applyAlignment="1">
      <alignment vertical="top" wrapText="1"/>
    </xf>
    <xf numFmtId="0" fontId="1" fillId="9" borderId="10" xfId="0" applyFont="1" applyFill="1" applyBorder="1" applyAlignment="1">
      <alignment vertical="top" wrapText="1"/>
    </xf>
    <xf numFmtId="0" fontId="1" fillId="9" borderId="10" xfId="0" applyFont="1" applyFill="1" applyBorder="1" applyAlignment="1">
      <alignment horizontal="center" vertical="top" wrapText="1"/>
    </xf>
    <xf numFmtId="0" fontId="2" fillId="8" borderId="9" xfId="0" applyFont="1" applyFill="1" applyBorder="1" applyAlignment="1">
      <alignment horizontal="center" vertical="top" wrapText="1"/>
    </xf>
    <xf numFmtId="0" fontId="3" fillId="9" borderId="13" xfId="0" applyFont="1" applyFill="1" applyBorder="1" applyAlignment="1">
      <alignment vertical="top"/>
    </xf>
    <xf numFmtId="4" fontId="2" fillId="8" borderId="2" xfId="0" applyNumberFormat="1" applyFont="1" applyFill="1" applyBorder="1" applyAlignment="1">
      <alignment horizontal="center" vertical="top" wrapText="1"/>
    </xf>
    <xf numFmtId="4" fontId="1" fillId="5" borderId="4" xfId="0" applyNumberFormat="1" applyFont="1" applyFill="1" applyBorder="1" applyAlignment="1">
      <alignment horizontal="center" vertical="top" wrapText="1"/>
    </xf>
    <xf numFmtId="4" fontId="1" fillId="5" borderId="10" xfId="0" applyNumberFormat="1" applyFont="1" applyFill="1" applyBorder="1" applyAlignment="1">
      <alignment horizontal="center" vertical="top" wrapText="1"/>
    </xf>
    <xf numFmtId="4" fontId="1" fillId="5" borderId="2" xfId="0" applyNumberFormat="1" applyFont="1" applyFill="1" applyBorder="1" applyAlignment="1">
      <alignment horizontal="center" vertical="top" wrapText="1"/>
    </xf>
    <xf numFmtId="4" fontId="1" fillId="5" borderId="3" xfId="0" applyNumberFormat="1" applyFont="1" applyFill="1" applyBorder="1" applyAlignment="1">
      <alignment horizontal="center" vertical="top" wrapText="1"/>
    </xf>
    <xf numFmtId="4" fontId="1" fillId="9" borderId="10" xfId="0" applyNumberFormat="1" applyFont="1" applyFill="1" applyBorder="1" applyAlignment="1">
      <alignment horizontal="center" vertical="top" wrapText="1"/>
    </xf>
    <xf numFmtId="4" fontId="1" fillId="5" borderId="9" xfId="0" applyNumberFormat="1" applyFont="1" applyFill="1" applyBorder="1" applyAlignment="1">
      <alignment horizontal="center" vertical="top" wrapText="1"/>
    </xf>
    <xf numFmtId="0" fontId="1" fillId="0" borderId="2" xfId="0" applyFont="1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4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13" xfId="0" applyFont="1" applyBorder="1" applyAlignment="1">
      <alignment horizontal="center" vertical="top"/>
    </xf>
    <xf numFmtId="0" fontId="4" fillId="0" borderId="13" xfId="0" applyFont="1" applyBorder="1" applyAlignment="1">
      <alignment vertical="top"/>
    </xf>
    <xf numFmtId="0" fontId="4" fillId="0" borderId="13" xfId="0" applyFont="1" applyBorder="1" applyAlignment="1">
      <alignment wrapText="1"/>
    </xf>
    <xf numFmtId="0" fontId="5" fillId="5" borderId="13" xfId="0" applyFont="1" applyFill="1" applyBorder="1" applyAlignment="1">
      <alignment horizontal="center" vertical="center"/>
    </xf>
    <xf numFmtId="9" fontId="4" fillId="0" borderId="13" xfId="1" applyFont="1" applyBorder="1" applyAlignment="1">
      <alignment horizontal="center" vertical="top"/>
    </xf>
    <xf numFmtId="0" fontId="8" fillId="0" borderId="0" xfId="0" applyFont="1"/>
    <xf numFmtId="0" fontId="5" fillId="5" borderId="0" xfId="0" applyFont="1" applyFill="1" applyAlignment="1">
      <alignment horizontal="right"/>
    </xf>
    <xf numFmtId="9" fontId="5" fillId="5" borderId="0" xfId="1" applyFont="1" applyFill="1"/>
    <xf numFmtId="0" fontId="1" fillId="5" borderId="1" xfId="0" applyFont="1" applyFill="1" applyBorder="1" applyAlignment="1" applyProtection="1">
      <alignment horizontal="center" vertical="top" wrapText="1"/>
      <protection locked="0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1" fillId="5" borderId="10" xfId="0" applyFont="1" applyFill="1" applyBorder="1" applyAlignment="1">
      <alignment horizontal="left" vertical="top" wrapText="1"/>
    </xf>
    <xf numFmtId="0" fontId="1" fillId="5" borderId="9" xfId="0" applyFont="1" applyFill="1" applyBorder="1" applyAlignment="1" applyProtection="1">
      <alignment horizontal="center" vertical="top" wrapText="1"/>
      <protection locked="0"/>
    </xf>
    <xf numFmtId="0" fontId="1" fillId="5" borderId="9" xfId="0" applyFont="1" applyFill="1" applyBorder="1" applyAlignment="1" applyProtection="1">
      <alignment vertical="top" wrapText="1"/>
      <protection locked="0"/>
    </xf>
    <xf numFmtId="0" fontId="1" fillId="8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4" fontId="2" fillId="8" borderId="5" xfId="0" applyNumberFormat="1" applyFont="1" applyFill="1" applyBorder="1" applyAlignment="1">
      <alignment horizontal="center" vertical="top" wrapText="1"/>
    </xf>
    <xf numFmtId="4" fontId="1" fillId="5" borderId="5" xfId="0" applyNumberFormat="1" applyFont="1" applyFill="1" applyBorder="1" applyAlignment="1">
      <alignment horizontal="center" vertical="top" wrapText="1"/>
    </xf>
    <xf numFmtId="4" fontId="1" fillId="5" borderId="6" xfId="0" applyNumberFormat="1" applyFont="1" applyFill="1" applyBorder="1" applyAlignment="1">
      <alignment horizontal="center" vertical="top" wrapText="1"/>
    </xf>
    <xf numFmtId="0" fontId="5" fillId="6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top" wrapText="1"/>
    </xf>
    <xf numFmtId="0" fontId="1" fillId="5" borderId="16" xfId="0" applyFont="1" applyFill="1" applyBorder="1" applyAlignment="1">
      <alignment horizontal="center" vertical="top" wrapText="1"/>
    </xf>
    <xf numFmtId="0" fontId="1" fillId="5" borderId="15" xfId="0" applyFont="1" applyFill="1" applyBorder="1" applyAlignment="1">
      <alignment horizontal="center" vertical="top" wrapText="1"/>
    </xf>
    <xf numFmtId="0" fontId="1" fillId="5" borderId="17" xfId="0" applyFont="1" applyFill="1" applyBorder="1" applyAlignment="1">
      <alignment horizontal="center" vertical="top" wrapText="1"/>
    </xf>
    <xf numFmtId="0" fontId="1" fillId="5" borderId="12" xfId="0" applyFont="1" applyFill="1" applyBorder="1" applyAlignment="1">
      <alignment horizontal="center" vertical="top" wrapText="1"/>
    </xf>
    <xf numFmtId="0" fontId="1" fillId="10" borderId="9" xfId="0" applyFont="1" applyFill="1" applyBorder="1" applyAlignment="1" applyProtection="1">
      <alignment vertical="top" wrapText="1"/>
      <protection locked="0"/>
    </xf>
    <xf numFmtId="0" fontId="1" fillId="10" borderId="1" xfId="0" applyFont="1" applyFill="1" applyBorder="1" applyAlignment="1" applyProtection="1">
      <alignment vertical="top" wrapText="1"/>
      <protection locked="0"/>
    </xf>
    <xf numFmtId="0" fontId="1" fillId="10" borderId="9" xfId="0" applyFont="1" applyFill="1" applyBorder="1" applyAlignment="1" applyProtection="1">
      <alignment horizontal="left" vertical="top" wrapText="1"/>
      <protection locked="0"/>
    </xf>
    <xf numFmtId="0" fontId="1" fillId="10" borderId="4" xfId="0" applyFont="1" applyFill="1" applyBorder="1" applyAlignment="1" applyProtection="1">
      <alignment vertical="top" wrapText="1"/>
      <protection locked="0"/>
    </xf>
    <xf numFmtId="0" fontId="1" fillId="10" borderId="3" xfId="0" applyFont="1" applyFill="1" applyBorder="1" applyAlignment="1" applyProtection="1">
      <alignment horizontal="left" vertical="top" wrapText="1"/>
      <protection locked="0"/>
    </xf>
    <xf numFmtId="0" fontId="1" fillId="10" borderId="2" xfId="0" applyFont="1" applyFill="1" applyBorder="1" applyAlignment="1" applyProtection="1">
      <alignment vertical="top" wrapText="1"/>
      <protection locked="0"/>
    </xf>
    <xf numFmtId="0" fontId="2" fillId="10" borderId="9" xfId="0" applyFont="1" applyFill="1" applyBorder="1" applyAlignment="1" applyProtection="1">
      <alignment horizontal="center" vertical="top" wrapText="1"/>
      <protection locked="0"/>
    </xf>
    <xf numFmtId="0" fontId="2" fillId="10" borderId="13" xfId="0" applyFont="1" applyFill="1" applyBorder="1" applyAlignment="1" applyProtection="1">
      <alignment horizontal="center" vertical="top" wrapText="1"/>
      <protection locked="0"/>
    </xf>
    <xf numFmtId="0" fontId="2" fillId="10" borderId="1" xfId="0" applyFont="1" applyFill="1" applyBorder="1" applyAlignment="1" applyProtection="1">
      <alignment horizontal="center" vertical="top" wrapText="1"/>
      <protection locked="0"/>
    </xf>
    <xf numFmtId="0" fontId="2" fillId="0" borderId="13" xfId="0" applyFont="1" applyBorder="1" applyAlignment="1" applyProtection="1">
      <alignment horizontal="center" vertical="top" wrapText="1"/>
      <protection locked="0"/>
    </xf>
    <xf numFmtId="0" fontId="2" fillId="8" borderId="19" xfId="0" applyFont="1" applyFill="1" applyBorder="1" applyAlignment="1">
      <alignment horizontal="center" vertical="top" wrapText="1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1" fillId="5" borderId="18" xfId="0" applyFont="1" applyFill="1" applyBorder="1" applyAlignment="1">
      <alignment horizontal="center" vertical="top" wrapText="1"/>
    </xf>
    <xf numFmtId="0" fontId="1" fillId="5" borderId="20" xfId="0" applyFont="1" applyFill="1" applyBorder="1" applyAlignment="1" applyProtection="1">
      <alignment horizontal="center" vertical="top" wrapText="1"/>
      <protection locked="0"/>
    </xf>
    <xf numFmtId="0" fontId="1" fillId="5" borderId="19" xfId="0" applyFont="1" applyFill="1" applyBorder="1" applyAlignment="1">
      <alignment horizontal="center" vertical="top" wrapText="1"/>
    </xf>
    <xf numFmtId="0" fontId="1" fillId="9" borderId="18" xfId="0" applyFont="1" applyFill="1" applyBorder="1" applyAlignment="1">
      <alignment horizontal="center" vertical="top" wrapText="1"/>
    </xf>
    <xf numFmtId="0" fontId="1" fillId="9" borderId="20" xfId="0" applyFont="1" applyFill="1" applyBorder="1" applyAlignment="1">
      <alignment horizontal="center" vertical="top" wrapText="1"/>
    </xf>
    <xf numFmtId="0" fontId="2" fillId="5" borderId="1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top" wrapText="1"/>
    </xf>
    <xf numFmtId="0" fontId="5" fillId="5" borderId="15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4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center"/>
    </xf>
    <xf numFmtId="0" fontId="1" fillId="8" borderId="11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center" vertical="top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1" fillId="5" borderId="9" xfId="0" applyFont="1" applyFill="1" applyBorder="1" applyAlignment="1">
      <alignment vertical="top" wrapText="1"/>
    </xf>
    <xf numFmtId="0" fontId="1" fillId="5" borderId="9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1" fillId="8" borderId="9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5" fillId="6" borderId="11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7" borderId="13" xfId="0" applyFont="1" applyFill="1" applyBorder="1" applyAlignment="1">
      <alignment horizontal="center" vertical="top" wrapText="1"/>
    </xf>
    <xf numFmtId="0" fontId="2" fillId="7" borderId="18" xfId="0" applyFont="1" applyFill="1" applyBorder="1" applyAlignment="1">
      <alignment horizontal="center" vertical="top" wrapText="1"/>
    </xf>
    <xf numFmtId="4" fontId="2" fillId="7" borderId="5" xfId="0" applyNumberFormat="1" applyFont="1" applyFill="1" applyBorder="1" applyAlignment="1">
      <alignment horizontal="center" vertical="top" wrapText="1"/>
    </xf>
    <xf numFmtId="4" fontId="2" fillId="7" borderId="6" xfId="0" applyNumberFormat="1" applyFont="1" applyFill="1" applyBorder="1" applyAlignment="1">
      <alignment horizontal="center" vertical="top" wrapText="1"/>
    </xf>
    <xf numFmtId="0" fontId="2" fillId="8" borderId="13" xfId="0" applyFont="1" applyFill="1" applyBorder="1" applyAlignment="1">
      <alignment horizontal="center" vertical="top" wrapText="1"/>
    </xf>
    <xf numFmtId="0" fontId="2" fillId="8" borderId="18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4" fontId="2" fillId="7" borderId="2" xfId="0" applyNumberFormat="1" applyFont="1" applyFill="1" applyBorder="1" applyAlignment="1">
      <alignment horizontal="center" vertical="top" wrapText="1"/>
    </xf>
    <xf numFmtId="4" fontId="2" fillId="7" borderId="3" xfId="0" applyNumberFormat="1" applyFont="1" applyFill="1" applyBorder="1" applyAlignment="1">
      <alignment horizontal="center" vertical="top" wrapText="1"/>
    </xf>
    <xf numFmtId="4" fontId="2" fillId="7" borderId="9" xfId="0" applyNumberFormat="1" applyFont="1" applyFill="1" applyBorder="1" applyAlignment="1">
      <alignment horizontal="center" vertical="top" wrapText="1"/>
    </xf>
    <xf numFmtId="4" fontId="2" fillId="5" borderId="2" xfId="0" applyNumberFormat="1" applyFont="1" applyFill="1" applyBorder="1" applyAlignment="1">
      <alignment horizontal="center" vertical="top" wrapText="1"/>
    </xf>
    <xf numFmtId="4" fontId="2" fillId="5" borderId="3" xfId="0" applyNumberFormat="1" applyFont="1" applyFill="1" applyBorder="1" applyAlignment="1">
      <alignment horizontal="center" vertical="top" wrapText="1"/>
    </xf>
    <xf numFmtId="4" fontId="2" fillId="4" borderId="2" xfId="0" applyNumberFormat="1" applyFont="1" applyFill="1" applyBorder="1" applyAlignment="1">
      <alignment horizontal="center" vertical="top" wrapText="1"/>
    </xf>
    <xf numFmtId="4" fontId="2" fillId="4" borderId="9" xfId="0" applyNumberFormat="1" applyFont="1" applyFill="1" applyBorder="1" applyAlignment="1">
      <alignment horizontal="center" vertical="top" wrapText="1"/>
    </xf>
    <xf numFmtId="4" fontId="2" fillId="4" borderId="3" xfId="0" applyNumberFormat="1" applyFont="1" applyFill="1" applyBorder="1" applyAlignment="1">
      <alignment horizontal="center" vertical="top" wrapText="1"/>
    </xf>
    <xf numFmtId="4" fontId="2" fillId="4" borderId="5" xfId="0" applyNumberFormat="1" applyFont="1" applyFill="1" applyBorder="1" applyAlignment="1">
      <alignment horizontal="center" vertical="top" wrapText="1"/>
    </xf>
    <xf numFmtId="4" fontId="2" fillId="4" borderId="10" xfId="0" applyNumberFormat="1" applyFont="1" applyFill="1" applyBorder="1" applyAlignment="1">
      <alignment horizontal="center" vertical="top" wrapText="1"/>
    </xf>
    <xf numFmtId="4" fontId="2" fillId="4" borderId="6" xfId="0" applyNumberFormat="1" applyFont="1" applyFill="1" applyBorder="1" applyAlignment="1">
      <alignment horizontal="center" vertical="top" wrapText="1"/>
    </xf>
    <xf numFmtId="0" fontId="2" fillId="7" borderId="19" xfId="0" applyFont="1" applyFill="1" applyBorder="1" applyAlignment="1">
      <alignment horizontal="center" vertical="top" wrapText="1"/>
    </xf>
    <xf numFmtId="4" fontId="2" fillId="7" borderId="10" xfId="0" applyNumberFormat="1" applyFont="1" applyFill="1" applyBorder="1" applyAlignment="1">
      <alignment horizontal="center" vertical="top" wrapText="1"/>
    </xf>
    <xf numFmtId="4" fontId="2" fillId="5" borderId="5" xfId="0" applyNumberFormat="1" applyFont="1" applyFill="1" applyBorder="1" applyAlignment="1">
      <alignment horizontal="center" vertical="top" wrapText="1"/>
    </xf>
    <xf numFmtId="4" fontId="2" fillId="5" borderId="6" xfId="0" applyNumberFormat="1" applyFont="1" applyFill="1" applyBorder="1" applyAlignment="1">
      <alignment horizontal="center" vertical="top" wrapText="1"/>
    </xf>
    <xf numFmtId="0" fontId="2" fillId="4" borderId="13" xfId="0" applyFont="1" applyFill="1" applyBorder="1" applyAlignment="1">
      <alignment horizontal="center" vertical="top" wrapText="1"/>
    </xf>
    <xf numFmtId="0" fontId="2" fillId="4" borderId="19" xfId="0" applyFont="1" applyFill="1" applyBorder="1" applyAlignment="1">
      <alignment horizontal="center" vertical="top" wrapText="1"/>
    </xf>
    <xf numFmtId="0" fontId="2" fillId="4" borderId="18" xfId="0" applyFont="1" applyFill="1" applyBorder="1" applyAlignment="1">
      <alignment horizontal="center" vertical="top" wrapText="1"/>
    </xf>
    <xf numFmtId="0" fontId="15" fillId="0" borderId="13" xfId="0" applyFont="1" applyBorder="1" applyAlignment="1">
      <alignment vertical="top" wrapText="1"/>
    </xf>
    <xf numFmtId="0" fontId="15" fillId="0" borderId="0" xfId="0" applyFont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CBFB-E3EB-EE42-B399-04CF7B24253D}">
  <dimension ref="A1:F9"/>
  <sheetViews>
    <sheetView tabSelected="1" topLeftCell="B1" zoomScaleNormal="100" workbookViewId="0">
      <selection activeCell="D6" sqref="D6"/>
    </sheetView>
  </sheetViews>
  <sheetFormatPr defaultColWidth="10.796875" defaultRowHeight="24" x14ac:dyDescent="0.65"/>
  <cols>
    <col min="1" max="1" width="7.296875" style="66" customWidth="1"/>
    <col min="2" max="2" width="14" style="66" customWidth="1"/>
    <col min="3" max="3" width="35.296875" style="66" customWidth="1"/>
    <col min="4" max="4" width="45.3984375" style="66" customWidth="1"/>
    <col min="5" max="5" width="11.5" style="66" customWidth="1"/>
    <col min="6" max="16384" width="10.796875" style="66"/>
  </cols>
  <sheetData>
    <row r="1" spans="1:6" ht="33" x14ac:dyDescent="0.9">
      <c r="A1" s="130" t="s">
        <v>184</v>
      </c>
      <c r="B1" s="130"/>
      <c r="C1" s="130"/>
      <c r="D1" s="130"/>
      <c r="E1" s="130"/>
    </row>
    <row r="2" spans="1:6" x14ac:dyDescent="0.65">
      <c r="A2" s="70" t="s">
        <v>179</v>
      </c>
      <c r="B2" s="70" t="s">
        <v>180</v>
      </c>
      <c r="C2" s="70" t="s">
        <v>181</v>
      </c>
      <c r="D2" s="70" t="s">
        <v>182</v>
      </c>
      <c r="E2" s="70" t="s">
        <v>183</v>
      </c>
    </row>
    <row r="3" spans="1:6" ht="117" customHeight="1" x14ac:dyDescent="0.65">
      <c r="A3" s="67">
        <v>1</v>
      </c>
      <c r="B3" s="67" t="s">
        <v>235</v>
      </c>
      <c r="C3" s="129" t="s">
        <v>236</v>
      </c>
      <c r="D3" s="197" t="s">
        <v>255</v>
      </c>
      <c r="E3" s="71">
        <v>0.2</v>
      </c>
    </row>
    <row r="4" spans="1:6" ht="117" customHeight="1" x14ac:dyDescent="0.65">
      <c r="A4" s="67">
        <v>2</v>
      </c>
      <c r="B4" s="68" t="s">
        <v>238</v>
      </c>
      <c r="C4" s="129" t="s">
        <v>237</v>
      </c>
      <c r="D4" s="197" t="s">
        <v>256</v>
      </c>
      <c r="E4" s="71">
        <v>0.2</v>
      </c>
    </row>
    <row r="5" spans="1:6" ht="117" customHeight="1" x14ac:dyDescent="0.65">
      <c r="A5" s="67">
        <v>3</v>
      </c>
      <c r="B5" s="68" t="s">
        <v>239</v>
      </c>
      <c r="C5" s="129" t="s">
        <v>240</v>
      </c>
      <c r="D5" s="198" t="s">
        <v>257</v>
      </c>
      <c r="E5" s="71">
        <v>0.2</v>
      </c>
    </row>
    <row r="6" spans="1:6" ht="117" customHeight="1" x14ac:dyDescent="0.65">
      <c r="A6" s="67">
        <v>4</v>
      </c>
      <c r="B6" s="68" t="s">
        <v>241</v>
      </c>
      <c r="C6" s="129" t="s">
        <v>242</v>
      </c>
      <c r="D6" s="197" t="s">
        <v>254</v>
      </c>
      <c r="E6" s="71">
        <v>0.2</v>
      </c>
    </row>
    <row r="7" spans="1:6" ht="117" customHeight="1" x14ac:dyDescent="0.65">
      <c r="A7" s="67">
        <v>5</v>
      </c>
      <c r="B7" s="68" t="s">
        <v>244</v>
      </c>
      <c r="C7" s="128" t="s">
        <v>243</v>
      </c>
      <c r="D7" s="197" t="s">
        <v>253</v>
      </c>
      <c r="E7" s="71">
        <v>0.2</v>
      </c>
    </row>
    <row r="8" spans="1:6" ht="117" customHeight="1" x14ac:dyDescent="0.65">
      <c r="A8" s="67">
        <v>6</v>
      </c>
      <c r="B8" s="68"/>
      <c r="C8" s="68"/>
      <c r="D8" s="69"/>
      <c r="E8" s="71"/>
    </row>
    <row r="9" spans="1:6" x14ac:dyDescent="0.65">
      <c r="D9" s="73" t="s">
        <v>185</v>
      </c>
      <c r="E9" s="74">
        <f>SUM(E3:E8)</f>
        <v>1</v>
      </c>
      <c r="F9" s="72" t="s">
        <v>186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D39F-5161-C540-9C8F-52DEC3616578}">
  <dimension ref="A1:T68"/>
  <sheetViews>
    <sheetView zoomScale="55" zoomScaleNormal="55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K33" sqref="K33"/>
    </sheetView>
  </sheetViews>
  <sheetFormatPr defaultColWidth="10.796875" defaultRowHeight="21" x14ac:dyDescent="0.3"/>
  <cols>
    <col min="1" max="1" width="10.796875" style="4"/>
    <col min="2" max="2" width="23" style="4" customWidth="1"/>
    <col min="3" max="10" width="13.5" style="4" customWidth="1"/>
    <col min="11" max="11" width="9.19921875" style="10" customWidth="1"/>
    <col min="12" max="12" width="6.69921875" style="10" customWidth="1"/>
    <col min="13" max="13" width="7.796875" style="10" customWidth="1"/>
    <col min="14" max="14" width="47.69921875" style="4" customWidth="1"/>
    <col min="15" max="15" width="4.296875" style="4" customWidth="1"/>
    <col min="16" max="16" width="19.19921875" style="65" customWidth="1"/>
    <col min="17" max="17" width="7.296875" style="10" customWidth="1"/>
    <col min="18" max="18" width="7.796875" style="10" customWidth="1"/>
    <col min="19" max="19" width="43.69921875" style="4" customWidth="1"/>
    <col min="20" max="16384" width="10.796875" style="4"/>
  </cols>
  <sheetData>
    <row r="1" spans="1:20" ht="24.6" thickBot="1" x14ac:dyDescent="0.35">
      <c r="K1" s="150" t="s">
        <v>231</v>
      </c>
      <c r="L1" s="150"/>
      <c r="M1" s="150"/>
      <c r="N1" s="150"/>
      <c r="O1" s="150"/>
      <c r="P1" s="150" t="s">
        <v>232</v>
      </c>
      <c r="Q1" s="150"/>
      <c r="R1" s="150"/>
      <c r="S1" s="150"/>
      <c r="T1" s="150"/>
    </row>
    <row r="2" spans="1:20" ht="24.6" thickBot="1" x14ac:dyDescent="0.35">
      <c r="A2" s="1" t="s">
        <v>0</v>
      </c>
      <c r="B2" s="2" t="s">
        <v>2</v>
      </c>
      <c r="C2" s="141" t="s">
        <v>4</v>
      </c>
      <c r="D2" s="142"/>
      <c r="E2" s="142"/>
      <c r="F2" s="142"/>
      <c r="G2" s="142"/>
      <c r="H2" s="142"/>
      <c r="I2" s="142"/>
      <c r="J2" s="142"/>
      <c r="K2" s="3"/>
      <c r="L2" s="162" t="s">
        <v>155</v>
      </c>
      <c r="M2" s="163"/>
      <c r="N2" s="164"/>
      <c r="P2" s="134" t="s">
        <v>174</v>
      </c>
      <c r="Q2" s="162" t="s">
        <v>173</v>
      </c>
      <c r="R2" s="163"/>
      <c r="S2" s="164"/>
    </row>
    <row r="3" spans="1:20" ht="25.95" customHeight="1" thickBot="1" x14ac:dyDescent="0.35">
      <c r="A3" s="5" t="s">
        <v>1</v>
      </c>
      <c r="B3" s="6" t="s">
        <v>3</v>
      </c>
      <c r="C3" s="176" t="s">
        <v>5</v>
      </c>
      <c r="D3" s="177"/>
      <c r="E3" s="177"/>
      <c r="F3" s="177"/>
      <c r="G3" s="177"/>
      <c r="H3" s="177"/>
      <c r="I3" s="177"/>
      <c r="J3" s="177"/>
      <c r="K3" s="178"/>
      <c r="L3" s="12" t="s">
        <v>156</v>
      </c>
      <c r="M3" s="12" t="s">
        <v>158</v>
      </c>
      <c r="N3" s="12" t="s">
        <v>230</v>
      </c>
      <c r="P3" s="135"/>
      <c r="Q3" s="96" t="s">
        <v>156</v>
      </c>
      <c r="R3" s="92" t="s">
        <v>158</v>
      </c>
      <c r="S3" s="12" t="s">
        <v>230</v>
      </c>
    </row>
    <row r="4" spans="1:20" ht="22.95" customHeight="1" x14ac:dyDescent="0.3">
      <c r="A4" s="151" t="s">
        <v>6</v>
      </c>
      <c r="B4" s="154" t="s">
        <v>7</v>
      </c>
      <c r="C4" s="37" t="s">
        <v>8</v>
      </c>
      <c r="D4" s="37" t="s">
        <v>10</v>
      </c>
      <c r="E4" s="143"/>
      <c r="F4" s="143"/>
      <c r="G4" s="154"/>
      <c r="H4" s="143"/>
      <c r="I4" s="143"/>
      <c r="J4" s="143"/>
      <c r="K4" s="165" t="str">
        <f>K6</f>
        <v>S/U</v>
      </c>
      <c r="L4" s="165"/>
      <c r="M4" s="49"/>
      <c r="N4" s="160"/>
      <c r="P4" s="131"/>
      <c r="Q4" s="174"/>
      <c r="R4" s="37"/>
      <c r="S4" s="160"/>
    </row>
    <row r="5" spans="1:20" ht="19.95" customHeight="1" thickBot="1" x14ac:dyDescent="0.35">
      <c r="A5" s="152"/>
      <c r="B5" s="155"/>
      <c r="C5" s="39" t="s">
        <v>9</v>
      </c>
      <c r="D5" s="39" t="s">
        <v>11</v>
      </c>
      <c r="E5" s="144"/>
      <c r="F5" s="144"/>
      <c r="G5" s="155"/>
      <c r="H5" s="144"/>
      <c r="I5" s="144"/>
      <c r="J5" s="144"/>
      <c r="K5" s="155"/>
      <c r="L5" s="155"/>
      <c r="M5" s="38"/>
      <c r="N5" s="144"/>
      <c r="P5" s="132"/>
      <c r="Q5" s="175"/>
      <c r="R5" s="39"/>
      <c r="S5" s="144"/>
    </row>
    <row r="6" spans="1:20" ht="124.95" customHeight="1" thickBot="1" x14ac:dyDescent="0.35">
      <c r="A6" s="152"/>
      <c r="B6" s="11" t="s">
        <v>12</v>
      </c>
      <c r="C6" s="11" t="s">
        <v>13</v>
      </c>
      <c r="D6" s="11" t="s">
        <v>14</v>
      </c>
      <c r="E6" s="11"/>
      <c r="F6" s="11"/>
      <c r="G6" s="11"/>
      <c r="H6" s="11"/>
      <c r="I6" s="11"/>
      <c r="J6" s="11"/>
      <c r="K6" s="42" t="s">
        <v>7</v>
      </c>
      <c r="L6" s="42"/>
      <c r="M6" s="43"/>
      <c r="N6" s="11"/>
      <c r="P6" s="125" t="s">
        <v>175</v>
      </c>
      <c r="Q6" s="113"/>
      <c r="R6" s="43"/>
      <c r="S6" s="58"/>
    </row>
    <row r="7" spans="1:20" ht="82.95" customHeight="1" thickBot="1" x14ac:dyDescent="0.35">
      <c r="A7" s="152"/>
      <c r="B7" s="36" t="s">
        <v>157</v>
      </c>
      <c r="C7" s="41"/>
      <c r="D7" s="41"/>
      <c r="E7" s="41"/>
      <c r="F7" s="41"/>
      <c r="G7" s="41"/>
      <c r="H7" s="41"/>
      <c r="I7" s="41"/>
      <c r="J7" s="41"/>
      <c r="K7" s="36">
        <f>SUM(K8,K11,K18,K21)</f>
        <v>100</v>
      </c>
      <c r="L7" s="36"/>
      <c r="M7" s="51">
        <f>SUM(M18,M21)</f>
        <v>48.95</v>
      </c>
      <c r="N7" s="40" t="s">
        <v>217</v>
      </c>
      <c r="P7" s="80"/>
      <c r="Q7" s="112"/>
      <c r="R7" s="93" t="e">
        <f>SUM(R11,R18,R21)</f>
        <v>#N/A</v>
      </c>
      <c r="S7" s="40" t="s">
        <v>234</v>
      </c>
    </row>
    <row r="8" spans="1:20" ht="22.95" customHeight="1" x14ac:dyDescent="0.3">
      <c r="A8" s="152"/>
      <c r="B8" s="140" t="s">
        <v>15</v>
      </c>
      <c r="C8" s="9" t="s">
        <v>16</v>
      </c>
      <c r="D8" s="9" t="s">
        <v>18</v>
      </c>
      <c r="E8" s="9" t="s">
        <v>20</v>
      </c>
      <c r="F8" s="9" t="s">
        <v>22</v>
      </c>
      <c r="G8" s="9" t="s">
        <v>24</v>
      </c>
      <c r="H8" s="9" t="s">
        <v>26</v>
      </c>
      <c r="I8" s="9" t="s">
        <v>28</v>
      </c>
      <c r="J8" s="9" t="s">
        <v>30</v>
      </c>
      <c r="K8" s="136">
        <f>K10</f>
        <v>20</v>
      </c>
      <c r="L8" s="136"/>
      <c r="M8" s="179"/>
      <c r="N8" s="136"/>
      <c r="P8" s="81"/>
      <c r="Q8" s="170"/>
      <c r="R8" s="172"/>
      <c r="S8" s="136"/>
    </row>
    <row r="9" spans="1:20" ht="19.95" customHeight="1" thickBot="1" x14ac:dyDescent="0.35">
      <c r="A9" s="152"/>
      <c r="B9" s="139"/>
      <c r="C9" s="8" t="s">
        <v>17</v>
      </c>
      <c r="D9" s="8" t="s">
        <v>19</v>
      </c>
      <c r="E9" s="8" t="s">
        <v>21</v>
      </c>
      <c r="F9" s="8" t="s">
        <v>23</v>
      </c>
      <c r="G9" s="8" t="s">
        <v>25</v>
      </c>
      <c r="H9" s="8" t="s">
        <v>27</v>
      </c>
      <c r="I9" s="8" t="s">
        <v>29</v>
      </c>
      <c r="J9" s="8" t="s">
        <v>31</v>
      </c>
      <c r="K9" s="137"/>
      <c r="L9" s="137"/>
      <c r="M9" s="180"/>
      <c r="N9" s="137"/>
      <c r="P9" s="82"/>
      <c r="Q9" s="171"/>
      <c r="R9" s="173"/>
      <c r="S9" s="137"/>
    </row>
    <row r="10" spans="1:20" ht="75" customHeight="1" thickBot="1" x14ac:dyDescent="0.35">
      <c r="A10" s="152"/>
      <c r="B10" s="14" t="s">
        <v>32</v>
      </c>
      <c r="C10" s="14" t="s">
        <v>33</v>
      </c>
      <c r="D10" s="14" t="s">
        <v>34</v>
      </c>
      <c r="E10" s="14" t="s">
        <v>35</v>
      </c>
      <c r="F10" s="14" t="s">
        <v>36</v>
      </c>
      <c r="G10" s="14" t="s">
        <v>205</v>
      </c>
      <c r="H10" s="14" t="s">
        <v>37</v>
      </c>
      <c r="I10" s="14" t="s">
        <v>38</v>
      </c>
      <c r="J10" s="14" t="s">
        <v>39</v>
      </c>
      <c r="K10" s="16">
        <v>20</v>
      </c>
      <c r="L10" s="75"/>
      <c r="M10" s="52"/>
      <c r="N10" s="76"/>
      <c r="P10" s="147" t="s">
        <v>233</v>
      </c>
      <c r="Q10" s="148"/>
      <c r="R10" s="149"/>
      <c r="S10" s="76"/>
    </row>
    <row r="11" spans="1:20" ht="24" x14ac:dyDescent="0.3">
      <c r="A11" s="152"/>
      <c r="B11" s="138" t="s">
        <v>15</v>
      </c>
      <c r="C11" s="7" t="s">
        <v>16</v>
      </c>
      <c r="D11" s="7" t="s">
        <v>40</v>
      </c>
      <c r="E11" s="7" t="s">
        <v>41</v>
      </c>
      <c r="F11" s="7" t="s">
        <v>22</v>
      </c>
      <c r="G11" s="7" t="s">
        <v>24</v>
      </c>
      <c r="H11" s="7" t="s">
        <v>26</v>
      </c>
      <c r="I11" s="7" t="s">
        <v>28</v>
      </c>
      <c r="J11" s="7" t="s">
        <v>30</v>
      </c>
      <c r="K11" s="146">
        <f>SUM(K14,K15,K16,K17)</f>
        <v>20</v>
      </c>
      <c r="L11" s="146"/>
      <c r="M11" s="181"/>
      <c r="N11" s="166"/>
      <c r="P11" s="84"/>
      <c r="Q11" s="190"/>
      <c r="R11" s="191" t="e">
        <f>SUM(R14,R15,R16,R17)</f>
        <v>#N/A</v>
      </c>
      <c r="S11" s="146"/>
    </row>
    <row r="12" spans="1:20" ht="24.6" thickBot="1" x14ac:dyDescent="0.35">
      <c r="A12" s="152"/>
      <c r="B12" s="139"/>
      <c r="C12" s="8" t="s">
        <v>17</v>
      </c>
      <c r="D12" s="8" t="s">
        <v>19</v>
      </c>
      <c r="E12" s="8" t="s">
        <v>21</v>
      </c>
      <c r="F12" s="8" t="s">
        <v>23</v>
      </c>
      <c r="G12" s="8" t="s">
        <v>25</v>
      </c>
      <c r="H12" s="8" t="s">
        <v>27</v>
      </c>
      <c r="I12" s="8" t="s">
        <v>29</v>
      </c>
      <c r="J12" s="8" t="s">
        <v>31</v>
      </c>
      <c r="K12" s="137"/>
      <c r="L12" s="137"/>
      <c r="M12" s="180"/>
      <c r="N12" s="167"/>
      <c r="P12" s="82"/>
      <c r="Q12" s="170"/>
      <c r="R12" s="173"/>
      <c r="S12" s="137"/>
    </row>
    <row r="13" spans="1:20" ht="120.6" thickBot="1" x14ac:dyDescent="0.35">
      <c r="A13" s="152"/>
      <c r="B13" s="13" t="s">
        <v>42</v>
      </c>
      <c r="C13" s="13"/>
      <c r="D13" s="13"/>
      <c r="E13" s="13"/>
      <c r="F13" s="13"/>
      <c r="G13" s="13"/>
      <c r="H13" s="13"/>
      <c r="I13" s="13"/>
      <c r="J13" s="13"/>
      <c r="K13" s="20"/>
      <c r="L13" s="20"/>
      <c r="M13" s="53"/>
      <c r="N13" s="13"/>
      <c r="P13" s="85"/>
      <c r="Q13" s="114"/>
      <c r="R13" s="53"/>
      <c r="S13" s="13"/>
    </row>
    <row r="14" spans="1:20" ht="184.05" customHeight="1" thickBot="1" x14ac:dyDescent="0.35">
      <c r="A14" s="152"/>
      <c r="B14" s="21" t="s">
        <v>206</v>
      </c>
      <c r="C14" s="14" t="s">
        <v>43</v>
      </c>
      <c r="D14" s="14" t="s">
        <v>44</v>
      </c>
      <c r="E14" s="14" t="s">
        <v>45</v>
      </c>
      <c r="F14" s="14" t="s">
        <v>46</v>
      </c>
      <c r="G14" s="14" t="s">
        <v>47</v>
      </c>
      <c r="H14" s="14" t="s">
        <v>48</v>
      </c>
      <c r="I14" s="14" t="s">
        <v>49</v>
      </c>
      <c r="J14" s="14" t="s">
        <v>50</v>
      </c>
      <c r="K14" s="16">
        <v>5</v>
      </c>
      <c r="L14" s="16"/>
      <c r="M14" s="52"/>
      <c r="N14" s="14"/>
      <c r="P14" s="119" t="s">
        <v>176</v>
      </c>
      <c r="Q14" s="113"/>
      <c r="R14" s="52" t="e">
        <f>VLOOKUP(Q14,$A$61:$B$68,2,0) *K14/100</f>
        <v>#N/A</v>
      </c>
      <c r="S14" s="60"/>
    </row>
    <row r="15" spans="1:20" ht="103.95" customHeight="1" thickBot="1" x14ac:dyDescent="0.35">
      <c r="A15" s="152"/>
      <c r="B15" s="21" t="s">
        <v>151</v>
      </c>
      <c r="C15" s="14" t="s">
        <v>51</v>
      </c>
      <c r="D15" s="14" t="s">
        <v>226</v>
      </c>
      <c r="E15" s="14" t="s">
        <v>220</v>
      </c>
      <c r="F15" s="14" t="s">
        <v>221</v>
      </c>
      <c r="G15" s="14" t="s">
        <v>222</v>
      </c>
      <c r="H15" s="14" t="s">
        <v>223</v>
      </c>
      <c r="I15" s="14" t="s">
        <v>224</v>
      </c>
      <c r="J15" s="14" t="s">
        <v>225</v>
      </c>
      <c r="K15" s="16">
        <v>5</v>
      </c>
      <c r="L15" s="16"/>
      <c r="M15" s="52"/>
      <c r="N15" s="14"/>
      <c r="P15" s="124" t="s">
        <v>176</v>
      </c>
      <c r="Q15" s="113"/>
      <c r="R15" s="52" t="e">
        <f>VLOOKUP(Q15,$A$61:$B$68,2,0) *K15/100</f>
        <v>#N/A</v>
      </c>
      <c r="S15" s="60"/>
    </row>
    <row r="16" spans="1:20" ht="223.05" customHeight="1" thickBot="1" x14ac:dyDescent="0.35">
      <c r="A16" s="152"/>
      <c r="B16" s="21" t="s">
        <v>207</v>
      </c>
      <c r="C16" s="14" t="s">
        <v>52</v>
      </c>
      <c r="D16" s="14" t="s">
        <v>187</v>
      </c>
      <c r="E16" s="14" t="s">
        <v>188</v>
      </c>
      <c r="F16" s="14" t="s">
        <v>189</v>
      </c>
      <c r="G16" s="14" t="s">
        <v>190</v>
      </c>
      <c r="H16" s="14" t="s">
        <v>191</v>
      </c>
      <c r="I16" s="14" t="s">
        <v>192</v>
      </c>
      <c r="J16" s="14" t="s">
        <v>193</v>
      </c>
      <c r="K16" s="16">
        <v>5</v>
      </c>
      <c r="L16" s="16"/>
      <c r="M16" s="52"/>
      <c r="N16" s="14"/>
      <c r="P16" s="124" t="s">
        <v>176</v>
      </c>
      <c r="Q16" s="113"/>
      <c r="R16" s="52" t="e">
        <f>VLOOKUP(Q16,$A$61:$B$68,2,0) *K16/100</f>
        <v>#N/A</v>
      </c>
      <c r="S16" s="60"/>
    </row>
    <row r="17" spans="1:19" ht="154.94999999999999" customHeight="1" thickBot="1" x14ac:dyDescent="0.35">
      <c r="A17" s="152"/>
      <c r="B17" s="22" t="s">
        <v>208</v>
      </c>
      <c r="C17" s="15" t="s">
        <v>53</v>
      </c>
      <c r="D17" s="15" t="s">
        <v>54</v>
      </c>
      <c r="E17" s="15" t="s">
        <v>55</v>
      </c>
      <c r="F17" s="15" t="s">
        <v>56</v>
      </c>
      <c r="G17" s="15" t="s">
        <v>57</v>
      </c>
      <c r="H17" s="15" t="s">
        <v>58</v>
      </c>
      <c r="I17" s="15" t="s">
        <v>59</v>
      </c>
      <c r="J17" s="15" t="s">
        <v>60</v>
      </c>
      <c r="K17" s="19">
        <v>5</v>
      </c>
      <c r="L17" s="19"/>
      <c r="M17" s="52"/>
      <c r="N17" s="14"/>
      <c r="P17" s="124" t="s">
        <v>176</v>
      </c>
      <c r="Q17" s="113"/>
      <c r="R17" s="52" t="e">
        <f>VLOOKUP(Q17,$A$61:$B$68,2,0) *K17/100</f>
        <v>#N/A</v>
      </c>
      <c r="S17" s="61"/>
    </row>
    <row r="18" spans="1:19" ht="24" x14ac:dyDescent="0.3">
      <c r="A18" s="152"/>
      <c r="B18" s="136" t="s">
        <v>61</v>
      </c>
      <c r="C18" s="23" t="s">
        <v>16</v>
      </c>
      <c r="D18" s="24" t="s">
        <v>40</v>
      </c>
      <c r="E18" s="24" t="s">
        <v>41</v>
      </c>
      <c r="F18" s="24" t="s">
        <v>22</v>
      </c>
      <c r="G18" s="24" t="s">
        <v>24</v>
      </c>
      <c r="H18" s="24" t="s">
        <v>26</v>
      </c>
      <c r="I18" s="24" t="s">
        <v>28</v>
      </c>
      <c r="J18" s="24" t="s">
        <v>30</v>
      </c>
      <c r="K18" s="136">
        <f>K20</f>
        <v>10</v>
      </c>
      <c r="L18" s="168"/>
      <c r="M18" s="182"/>
      <c r="N18" s="168"/>
      <c r="P18" s="86"/>
      <c r="Q18" s="190"/>
      <c r="R18" s="192" t="e">
        <f t="shared" ref="R18" si="0">R20</f>
        <v>#N/A</v>
      </c>
      <c r="S18" s="136"/>
    </row>
    <row r="19" spans="1:19" ht="24.6" thickBot="1" x14ac:dyDescent="0.35">
      <c r="A19" s="152"/>
      <c r="B19" s="137"/>
      <c r="C19" s="25" t="s">
        <v>17</v>
      </c>
      <c r="D19" s="25" t="s">
        <v>19</v>
      </c>
      <c r="E19" s="25" t="s">
        <v>21</v>
      </c>
      <c r="F19" s="25" t="s">
        <v>23</v>
      </c>
      <c r="G19" s="25" t="s">
        <v>25</v>
      </c>
      <c r="H19" s="25" t="s">
        <v>27</v>
      </c>
      <c r="I19" s="25" t="s">
        <v>29</v>
      </c>
      <c r="J19" s="25" t="s">
        <v>31</v>
      </c>
      <c r="K19" s="137"/>
      <c r="L19" s="169"/>
      <c r="M19" s="183"/>
      <c r="N19" s="169"/>
      <c r="P19" s="87"/>
      <c r="Q19" s="171"/>
      <c r="R19" s="193"/>
      <c r="S19" s="137"/>
    </row>
    <row r="20" spans="1:19" ht="195" customHeight="1" thickBot="1" x14ac:dyDescent="0.35">
      <c r="A20" s="152"/>
      <c r="B20" s="14" t="s">
        <v>62</v>
      </c>
      <c r="C20" s="16" t="s">
        <v>63</v>
      </c>
      <c r="D20" s="14" t="s">
        <v>64</v>
      </c>
      <c r="E20" s="16" t="s">
        <v>65</v>
      </c>
      <c r="F20" s="16" t="s">
        <v>66</v>
      </c>
      <c r="G20" s="16" t="s">
        <v>67</v>
      </c>
      <c r="H20" s="16" t="s">
        <v>68</v>
      </c>
      <c r="I20" s="16" t="s">
        <v>69</v>
      </c>
      <c r="J20" s="16" t="s">
        <v>70</v>
      </c>
      <c r="K20" s="16">
        <v>10</v>
      </c>
      <c r="L20" s="16"/>
      <c r="M20" s="52"/>
      <c r="N20" s="16"/>
      <c r="P20" s="126" t="s">
        <v>175</v>
      </c>
      <c r="Q20" s="113"/>
      <c r="R20" s="52" t="e">
        <f>VLOOKUP(Q20,$A$61:$B$68,2,0) *K20/100</f>
        <v>#N/A</v>
      </c>
      <c r="S20" s="59"/>
    </row>
    <row r="21" spans="1:19" ht="22.95" customHeight="1" x14ac:dyDescent="0.3">
      <c r="A21" s="152"/>
      <c r="B21" s="146" t="s">
        <v>71</v>
      </c>
      <c r="C21" s="26" t="s">
        <v>8</v>
      </c>
      <c r="D21" s="26" t="s">
        <v>10</v>
      </c>
      <c r="E21" s="145"/>
      <c r="F21" s="145"/>
      <c r="G21" s="145"/>
      <c r="H21" s="145"/>
      <c r="I21" s="145"/>
      <c r="J21" s="145"/>
      <c r="K21" s="146">
        <f>SUM(K25,K34,K44)</f>
        <v>50</v>
      </c>
      <c r="L21" s="146"/>
      <c r="M21" s="181">
        <f t="shared" ref="M21" si="1">SUM(M25,M34,M44)</f>
        <v>48.95</v>
      </c>
      <c r="N21" s="145"/>
      <c r="P21" s="133"/>
      <c r="Q21" s="190"/>
      <c r="R21" s="191" t="e">
        <f t="shared" ref="R21" si="2">SUM(R25,R34,R44)</f>
        <v>#N/A</v>
      </c>
      <c r="S21" s="145"/>
    </row>
    <row r="22" spans="1:19" ht="19.05" customHeight="1" x14ac:dyDescent="0.3">
      <c r="A22" s="152"/>
      <c r="B22" s="146"/>
      <c r="C22" s="26" t="s">
        <v>9</v>
      </c>
      <c r="D22" s="26" t="s">
        <v>73</v>
      </c>
      <c r="E22" s="145"/>
      <c r="F22" s="145"/>
      <c r="G22" s="145"/>
      <c r="H22" s="145"/>
      <c r="I22" s="145"/>
      <c r="J22" s="145"/>
      <c r="K22" s="146"/>
      <c r="L22" s="146"/>
      <c r="M22" s="181"/>
      <c r="N22" s="145"/>
      <c r="P22" s="133"/>
      <c r="Q22" s="170"/>
      <c r="R22" s="191"/>
      <c r="S22" s="145"/>
    </row>
    <row r="23" spans="1:19" ht="82.95" customHeight="1" thickBot="1" x14ac:dyDescent="0.35">
      <c r="A23" s="152"/>
      <c r="B23" s="146"/>
      <c r="C23" s="27" t="s">
        <v>72</v>
      </c>
      <c r="D23" s="27" t="s">
        <v>74</v>
      </c>
      <c r="E23" s="145"/>
      <c r="F23" s="145"/>
      <c r="G23" s="145"/>
      <c r="H23" s="145"/>
      <c r="I23" s="145"/>
      <c r="J23" s="145"/>
      <c r="K23" s="146"/>
      <c r="L23" s="146"/>
      <c r="M23" s="181"/>
      <c r="N23" s="145"/>
      <c r="P23" s="133"/>
      <c r="Q23" s="170"/>
      <c r="R23" s="191"/>
      <c r="S23" s="145"/>
    </row>
    <row r="24" spans="1:19" ht="72.599999999999994" thickBot="1" x14ac:dyDescent="0.35">
      <c r="A24" s="152"/>
      <c r="B24" s="21" t="s">
        <v>75</v>
      </c>
      <c r="C24" s="17"/>
      <c r="D24" s="17"/>
      <c r="E24" s="17"/>
      <c r="F24" s="17"/>
      <c r="G24" s="17"/>
      <c r="H24" s="17"/>
      <c r="I24" s="17"/>
      <c r="J24" s="17"/>
      <c r="K24" s="43"/>
      <c r="L24" s="43"/>
      <c r="M24" s="52"/>
      <c r="N24" s="17"/>
      <c r="P24" s="83"/>
      <c r="Q24" s="97"/>
      <c r="R24" s="52"/>
      <c r="S24" s="17"/>
    </row>
    <row r="25" spans="1:19" ht="24" x14ac:dyDescent="0.3">
      <c r="A25" s="152"/>
      <c r="B25" s="31" t="s">
        <v>61</v>
      </c>
      <c r="C25" s="31" t="s">
        <v>16</v>
      </c>
      <c r="D25" s="31" t="s">
        <v>40</v>
      </c>
      <c r="E25" s="31" t="s">
        <v>41</v>
      </c>
      <c r="F25" s="31" t="s">
        <v>22</v>
      </c>
      <c r="G25" s="31" t="s">
        <v>24</v>
      </c>
      <c r="H25" s="31" t="s">
        <v>26</v>
      </c>
      <c r="I25" s="31" t="s">
        <v>28</v>
      </c>
      <c r="J25" s="31" t="s">
        <v>30</v>
      </c>
      <c r="K25" s="161">
        <f>SUM(K29,K31,K33)</f>
        <v>10</v>
      </c>
      <c r="L25" s="161"/>
      <c r="M25" s="184">
        <f t="shared" ref="M25" si="3">SUM(M29,M31,M33)</f>
        <v>8.9499999999999993</v>
      </c>
      <c r="N25" s="161"/>
      <c r="P25" s="88"/>
      <c r="Q25" s="194"/>
      <c r="R25" s="187" t="e">
        <f t="shared" ref="R25" si="4">SUM(R29,R31,R33)</f>
        <v>#N/A</v>
      </c>
      <c r="S25" s="161"/>
    </row>
    <row r="26" spans="1:19" ht="48" x14ac:dyDescent="0.3">
      <c r="A26" s="152"/>
      <c r="B26" s="32" t="s">
        <v>76</v>
      </c>
      <c r="C26" s="31" t="s">
        <v>17</v>
      </c>
      <c r="D26" s="31" t="s">
        <v>19</v>
      </c>
      <c r="E26" s="31" t="s">
        <v>21</v>
      </c>
      <c r="F26" s="31" t="s">
        <v>23</v>
      </c>
      <c r="G26" s="31" t="s">
        <v>25</v>
      </c>
      <c r="H26" s="31" t="s">
        <v>27</v>
      </c>
      <c r="I26" s="31" t="s">
        <v>29</v>
      </c>
      <c r="J26" s="31" t="s">
        <v>31</v>
      </c>
      <c r="K26" s="158"/>
      <c r="L26" s="158"/>
      <c r="M26" s="185"/>
      <c r="N26" s="158"/>
      <c r="P26" s="88"/>
      <c r="Q26" s="194"/>
      <c r="R26" s="188"/>
      <c r="S26" s="158"/>
    </row>
    <row r="27" spans="1:19" ht="24.6" thickBot="1" x14ac:dyDescent="0.35">
      <c r="A27" s="152"/>
      <c r="B27" s="33" t="s">
        <v>77</v>
      </c>
      <c r="C27" s="34"/>
      <c r="D27" s="34"/>
      <c r="E27" s="34"/>
      <c r="F27" s="34"/>
      <c r="G27" s="34"/>
      <c r="H27" s="34"/>
      <c r="I27" s="34"/>
      <c r="J27" s="34"/>
      <c r="K27" s="159"/>
      <c r="L27" s="159"/>
      <c r="M27" s="186"/>
      <c r="N27" s="159"/>
      <c r="P27" s="89"/>
      <c r="Q27" s="194"/>
      <c r="R27" s="189"/>
      <c r="S27" s="159"/>
    </row>
    <row r="28" spans="1:19" ht="120.6" thickBot="1" x14ac:dyDescent="0.35">
      <c r="A28" s="152"/>
      <c r="B28" s="28" t="s">
        <v>152</v>
      </c>
      <c r="C28" s="13"/>
      <c r="D28" s="13"/>
      <c r="E28" s="13"/>
      <c r="F28" s="13"/>
      <c r="G28" s="13"/>
      <c r="H28" s="13"/>
      <c r="I28" s="13"/>
      <c r="J28" s="13"/>
      <c r="K28" s="42"/>
      <c r="L28" s="42"/>
      <c r="M28" s="54"/>
      <c r="N28" s="11"/>
      <c r="P28" s="85"/>
      <c r="Q28" s="114"/>
      <c r="R28" s="94"/>
      <c r="S28" s="11"/>
    </row>
    <row r="29" spans="1:19" ht="25.95" customHeight="1" thickBot="1" x14ac:dyDescent="0.35">
      <c r="A29" s="152"/>
      <c r="B29" s="157" t="s">
        <v>209</v>
      </c>
      <c r="C29" s="18" t="s">
        <v>78</v>
      </c>
      <c r="D29" s="18" t="s">
        <v>79</v>
      </c>
      <c r="E29" s="18" t="s">
        <v>79</v>
      </c>
      <c r="F29" s="18" t="s">
        <v>80</v>
      </c>
      <c r="G29" s="18" t="s">
        <v>80</v>
      </c>
      <c r="H29" s="19" t="s">
        <v>81</v>
      </c>
      <c r="I29" s="18" t="s">
        <v>81</v>
      </c>
      <c r="J29" s="18" t="s">
        <v>82</v>
      </c>
      <c r="K29" s="19">
        <v>2.5</v>
      </c>
      <c r="L29" s="108" t="s">
        <v>165</v>
      </c>
      <c r="M29" s="57">
        <f>VLOOKUP(L29,$A$61:$B$68,2,0) *K29/100</f>
        <v>2.5</v>
      </c>
      <c r="N29" s="102" t="s">
        <v>246</v>
      </c>
      <c r="P29" s="121" t="s">
        <v>177</v>
      </c>
      <c r="Q29" s="113"/>
      <c r="R29" s="53" t="e">
        <f>VLOOKUP(Q29,$A$61:$B$68,2,0) *K29/100</f>
        <v>#N/A</v>
      </c>
      <c r="S29" s="61"/>
    </row>
    <row r="30" spans="1:19" ht="117" customHeight="1" thickBot="1" x14ac:dyDescent="0.35">
      <c r="A30" s="152"/>
      <c r="B30" s="157"/>
      <c r="C30" s="18"/>
      <c r="D30" s="77" t="s">
        <v>194</v>
      </c>
      <c r="E30" s="77" t="s">
        <v>195</v>
      </c>
      <c r="F30" s="77" t="s">
        <v>194</v>
      </c>
      <c r="G30" s="77" t="s">
        <v>195</v>
      </c>
      <c r="H30" s="20" t="s">
        <v>194</v>
      </c>
      <c r="I30" s="77" t="s">
        <v>195</v>
      </c>
      <c r="J30" s="77" t="s">
        <v>195</v>
      </c>
      <c r="K30" s="19"/>
      <c r="L30" s="78"/>
      <c r="M30" s="57"/>
      <c r="N30" s="79"/>
      <c r="P30" s="121"/>
      <c r="Q30" s="115"/>
      <c r="R30" s="53"/>
      <c r="S30" s="79"/>
    </row>
    <row r="31" spans="1:19" ht="27" customHeight="1" thickBot="1" x14ac:dyDescent="0.35">
      <c r="A31" s="152"/>
      <c r="B31" s="156" t="s">
        <v>210</v>
      </c>
      <c r="C31" s="156" t="s">
        <v>83</v>
      </c>
      <c r="D31" s="13" t="s">
        <v>84</v>
      </c>
      <c r="E31" s="13" t="s">
        <v>84</v>
      </c>
      <c r="F31" s="13" t="s">
        <v>85</v>
      </c>
      <c r="G31" s="13" t="s">
        <v>86</v>
      </c>
      <c r="H31" s="13" t="s">
        <v>87</v>
      </c>
      <c r="I31" s="13" t="s">
        <v>87</v>
      </c>
      <c r="J31" s="13" t="s">
        <v>88</v>
      </c>
      <c r="K31" s="19">
        <v>2.5</v>
      </c>
      <c r="L31" s="108" t="s">
        <v>165</v>
      </c>
      <c r="M31" s="57">
        <f>VLOOKUP(L31,$A$61:$B$68,2,0) *K31/100</f>
        <v>2.5</v>
      </c>
      <c r="N31" s="102" t="s">
        <v>247</v>
      </c>
      <c r="P31" s="121" t="s">
        <v>177</v>
      </c>
      <c r="Q31" s="113"/>
      <c r="R31" s="53" t="e">
        <f>VLOOKUP(Q31,$A$61:$B$68,2,0) *K31/100</f>
        <v>#N/A</v>
      </c>
      <c r="S31" s="61"/>
    </row>
    <row r="32" spans="1:19" ht="111" customHeight="1" thickBot="1" x14ac:dyDescent="0.35">
      <c r="A32" s="152"/>
      <c r="B32" s="156"/>
      <c r="C32" s="156"/>
      <c r="D32" s="13" t="s">
        <v>196</v>
      </c>
      <c r="E32" s="13" t="s">
        <v>197</v>
      </c>
      <c r="F32" s="13" t="s">
        <v>196</v>
      </c>
      <c r="G32" s="13" t="s">
        <v>197</v>
      </c>
      <c r="H32" s="13" t="s">
        <v>196</v>
      </c>
      <c r="I32" s="13" t="s">
        <v>197</v>
      </c>
      <c r="J32" s="13" t="s">
        <v>197</v>
      </c>
      <c r="K32" s="44"/>
      <c r="L32" s="44"/>
      <c r="M32" s="55"/>
      <c r="N32" s="29"/>
      <c r="P32" s="85"/>
      <c r="Q32" s="116"/>
      <c r="R32" s="95"/>
      <c r="S32" s="29"/>
    </row>
    <row r="33" spans="1:19" ht="196.95" customHeight="1" thickBot="1" x14ac:dyDescent="0.35">
      <c r="A33" s="152"/>
      <c r="B33" s="21" t="s">
        <v>211</v>
      </c>
      <c r="C33" s="14" t="s">
        <v>89</v>
      </c>
      <c r="D33" s="14" t="s">
        <v>90</v>
      </c>
      <c r="E33" s="14" t="s">
        <v>91</v>
      </c>
      <c r="F33" s="14" t="s">
        <v>92</v>
      </c>
      <c r="G33" s="14" t="s">
        <v>93</v>
      </c>
      <c r="H33" s="14" t="s">
        <v>94</v>
      </c>
      <c r="I33" s="14" t="s">
        <v>95</v>
      </c>
      <c r="J33" s="14" t="s">
        <v>96</v>
      </c>
      <c r="K33" s="16">
        <v>5</v>
      </c>
      <c r="L33" s="108" t="s">
        <v>166</v>
      </c>
      <c r="M33" s="52">
        <f>VLOOKUP(L33,$A$61:$B$68,2,0) *K33/100</f>
        <v>3.95</v>
      </c>
      <c r="N33" s="103" t="s">
        <v>245</v>
      </c>
      <c r="P33" s="123" t="s">
        <v>178</v>
      </c>
      <c r="Q33" s="111"/>
      <c r="R33" s="53" t="e">
        <f>VLOOKUP(Q33,$A$61:$B$68,2,0) *K33/100</f>
        <v>#N/A</v>
      </c>
      <c r="S33" s="60"/>
    </row>
    <row r="34" spans="1:19" ht="24" x14ac:dyDescent="0.3">
      <c r="A34" s="152"/>
      <c r="B34" s="31" t="s">
        <v>97</v>
      </c>
      <c r="C34" s="31" t="s">
        <v>16</v>
      </c>
      <c r="D34" s="31" t="s">
        <v>40</v>
      </c>
      <c r="E34" s="31" t="s">
        <v>41</v>
      </c>
      <c r="F34" s="31" t="s">
        <v>22</v>
      </c>
      <c r="G34" s="31" t="s">
        <v>24</v>
      </c>
      <c r="H34" s="31" t="s">
        <v>26</v>
      </c>
      <c r="I34" s="31" t="s">
        <v>28</v>
      </c>
      <c r="J34" s="31" t="s">
        <v>30</v>
      </c>
      <c r="K34" s="161">
        <f>SUM(K36,K40)</f>
        <v>30</v>
      </c>
      <c r="L34" s="161"/>
      <c r="M34" s="184">
        <f t="shared" ref="M34" si="5">SUM(M36,M40)</f>
        <v>30</v>
      </c>
      <c r="N34" s="161"/>
      <c r="P34" s="88"/>
      <c r="Q34" s="194"/>
      <c r="R34" s="187" t="e">
        <f t="shared" ref="R34" si="6">SUM(R36,R40)</f>
        <v>#N/A</v>
      </c>
      <c r="S34" s="161"/>
    </row>
    <row r="35" spans="1:19" ht="72.599999999999994" thickBot="1" x14ac:dyDescent="0.35">
      <c r="A35" s="152"/>
      <c r="B35" s="33" t="s">
        <v>98</v>
      </c>
      <c r="C35" s="35" t="s">
        <v>17</v>
      </c>
      <c r="D35" s="35" t="s">
        <v>19</v>
      </c>
      <c r="E35" s="35" t="s">
        <v>21</v>
      </c>
      <c r="F35" s="35" t="s">
        <v>23</v>
      </c>
      <c r="G35" s="35" t="s">
        <v>25</v>
      </c>
      <c r="H35" s="33" t="s">
        <v>27</v>
      </c>
      <c r="I35" s="35" t="s">
        <v>29</v>
      </c>
      <c r="J35" s="33" t="s">
        <v>31</v>
      </c>
      <c r="K35" s="159"/>
      <c r="L35" s="159"/>
      <c r="M35" s="186"/>
      <c r="N35" s="159"/>
      <c r="P35" s="90"/>
      <c r="Q35" s="194"/>
      <c r="R35" s="189"/>
      <c r="S35" s="159"/>
    </row>
    <row r="36" spans="1:19" ht="120.6" thickBot="1" x14ac:dyDescent="0.35">
      <c r="A36" s="152"/>
      <c r="B36" s="46" t="s">
        <v>153</v>
      </c>
      <c r="C36" s="47"/>
      <c r="D36" s="47"/>
      <c r="E36" s="47"/>
      <c r="F36" s="47"/>
      <c r="G36" s="47"/>
      <c r="H36" s="47"/>
      <c r="I36" s="47"/>
      <c r="J36" s="47"/>
      <c r="K36" s="48">
        <f>SUM(K37,K38,K39)</f>
        <v>15</v>
      </c>
      <c r="L36" s="48"/>
      <c r="M36" s="56">
        <f t="shared" ref="M36" si="7">SUM(M37,M38,M39)</f>
        <v>15</v>
      </c>
      <c r="N36" s="47"/>
      <c r="P36" s="91"/>
      <c r="Q36" s="117"/>
      <c r="R36" s="56" t="e">
        <f t="shared" ref="R36" si="8">SUM(R37,R38,R39)</f>
        <v>#N/A</v>
      </c>
      <c r="S36" s="47"/>
    </row>
    <row r="37" spans="1:19" ht="157.05000000000001" customHeight="1" thickBot="1" x14ac:dyDescent="0.35">
      <c r="A37" s="152"/>
      <c r="B37" s="30" t="s">
        <v>212</v>
      </c>
      <c r="C37" s="18" t="s">
        <v>99</v>
      </c>
      <c r="D37" s="18" t="s">
        <v>100</v>
      </c>
      <c r="E37" s="18" t="s">
        <v>101</v>
      </c>
      <c r="F37" s="18" t="s">
        <v>102</v>
      </c>
      <c r="G37" s="19" t="s">
        <v>103</v>
      </c>
      <c r="H37" s="18" t="s">
        <v>104</v>
      </c>
      <c r="I37" s="18" t="s">
        <v>105</v>
      </c>
      <c r="J37" s="18" t="s">
        <v>106</v>
      </c>
      <c r="K37" s="98">
        <v>5</v>
      </c>
      <c r="L37" s="109" t="s">
        <v>165</v>
      </c>
      <c r="M37" s="52">
        <f t="shared" ref="M37:M39" si="9">VLOOKUP(L37,$A$61:$B$68,2,0) *K37/100</f>
        <v>5</v>
      </c>
      <c r="N37" s="104" t="s">
        <v>248</v>
      </c>
      <c r="P37" s="121" t="s">
        <v>177</v>
      </c>
      <c r="Q37" s="113"/>
      <c r="R37" s="53" t="e">
        <f>VLOOKUP(Q37,$A$61:$B$68,2,0) *K37/100</f>
        <v>#N/A</v>
      </c>
      <c r="S37" s="62"/>
    </row>
    <row r="38" spans="1:19" ht="174" customHeight="1" thickBot="1" x14ac:dyDescent="0.35">
      <c r="A38" s="152"/>
      <c r="B38" s="21" t="s">
        <v>107</v>
      </c>
      <c r="C38" s="14" t="s">
        <v>108</v>
      </c>
      <c r="D38" s="14" t="s">
        <v>109</v>
      </c>
      <c r="E38" s="14" t="s">
        <v>110</v>
      </c>
      <c r="F38" s="14" t="s">
        <v>111</v>
      </c>
      <c r="G38" s="14" t="s">
        <v>112</v>
      </c>
      <c r="H38" s="14" t="s">
        <v>113</v>
      </c>
      <c r="I38" s="14" t="s">
        <v>114</v>
      </c>
      <c r="J38" s="14" t="s">
        <v>115</v>
      </c>
      <c r="K38" s="99">
        <v>5</v>
      </c>
      <c r="L38" s="109" t="s">
        <v>165</v>
      </c>
      <c r="M38" s="52">
        <f t="shared" si="9"/>
        <v>5</v>
      </c>
      <c r="N38" s="103" t="s">
        <v>249</v>
      </c>
      <c r="P38" s="120" t="s">
        <v>177</v>
      </c>
      <c r="Q38" s="113"/>
      <c r="R38" s="53" t="e">
        <f>VLOOKUP(Q38,$A$61:$B$68,2,0) *K38/100</f>
        <v>#N/A</v>
      </c>
      <c r="S38" s="60"/>
    </row>
    <row r="39" spans="1:19" ht="172.05" customHeight="1" thickBot="1" x14ac:dyDescent="0.35">
      <c r="A39" s="152"/>
      <c r="B39" s="21" t="s">
        <v>159</v>
      </c>
      <c r="C39" s="17" t="s">
        <v>160</v>
      </c>
      <c r="D39" s="17" t="s">
        <v>227</v>
      </c>
      <c r="E39" s="17" t="s">
        <v>161</v>
      </c>
      <c r="F39" s="17" t="s">
        <v>228</v>
      </c>
      <c r="G39" s="17" t="s">
        <v>162</v>
      </c>
      <c r="H39" s="17" t="s">
        <v>229</v>
      </c>
      <c r="I39" s="17" t="s">
        <v>163</v>
      </c>
      <c r="J39" s="17" t="s">
        <v>164</v>
      </c>
      <c r="K39" s="100">
        <v>5</v>
      </c>
      <c r="L39" s="109" t="s">
        <v>165</v>
      </c>
      <c r="M39" s="52">
        <f t="shared" si="9"/>
        <v>5</v>
      </c>
      <c r="N39" s="105" t="s">
        <v>250</v>
      </c>
      <c r="P39" s="120" t="s">
        <v>177</v>
      </c>
      <c r="Q39" s="113"/>
      <c r="R39" s="53" t="e">
        <f>VLOOKUP(Q39,$A$61:$B$68,2,0) *K39/100</f>
        <v>#N/A</v>
      </c>
      <c r="S39" s="63"/>
    </row>
    <row r="40" spans="1:19" ht="120.6" thickBot="1" x14ac:dyDescent="0.35">
      <c r="A40" s="152"/>
      <c r="B40" s="46" t="s">
        <v>154</v>
      </c>
      <c r="C40" s="47"/>
      <c r="D40" s="47"/>
      <c r="E40" s="47"/>
      <c r="F40" s="47"/>
      <c r="G40" s="47"/>
      <c r="H40" s="47"/>
      <c r="I40" s="47"/>
      <c r="J40" s="47"/>
      <c r="K40" s="48">
        <f>SUM(K41,K42,K43)</f>
        <v>15</v>
      </c>
      <c r="L40" s="48"/>
      <c r="M40" s="56">
        <f t="shared" ref="M40" si="10">SUM(M41,M42,M43)</f>
        <v>15</v>
      </c>
      <c r="N40" s="47"/>
      <c r="P40" s="91"/>
      <c r="Q40" s="118"/>
      <c r="R40" s="56" t="e">
        <f t="shared" ref="R40" si="11">SUM(R41,R42,R43)</f>
        <v>#N/A</v>
      </c>
      <c r="S40" s="47"/>
    </row>
    <row r="41" spans="1:19" ht="151.05000000000001" customHeight="1" thickBot="1" x14ac:dyDescent="0.35">
      <c r="A41" s="152"/>
      <c r="B41" s="45" t="s">
        <v>116</v>
      </c>
      <c r="C41" s="45" t="s">
        <v>117</v>
      </c>
      <c r="D41" s="45" t="s">
        <v>118</v>
      </c>
      <c r="E41" s="45" t="s">
        <v>119</v>
      </c>
      <c r="F41" s="45" t="s">
        <v>120</v>
      </c>
      <c r="G41" s="45" t="s">
        <v>121</v>
      </c>
      <c r="H41" s="45" t="s">
        <v>122</v>
      </c>
      <c r="I41" s="45" t="s">
        <v>123</v>
      </c>
      <c r="J41" s="45" t="s">
        <v>124</v>
      </c>
      <c r="K41" s="101">
        <v>5</v>
      </c>
      <c r="L41" s="109" t="s">
        <v>165</v>
      </c>
      <c r="M41" s="52">
        <f>VLOOKUP(L41,$A$61:$B$68,2,0) *K41/100</f>
        <v>5</v>
      </c>
      <c r="N41" s="106"/>
      <c r="P41" s="122" t="s">
        <v>178</v>
      </c>
      <c r="Q41" s="113"/>
      <c r="R41" s="53" t="e">
        <f>VLOOKUP(Q41,$A$61:$B$68,2,0) *K41/100</f>
        <v>#N/A</v>
      </c>
      <c r="S41" s="64"/>
    </row>
    <row r="42" spans="1:19" ht="172.05" customHeight="1" thickBot="1" x14ac:dyDescent="0.35">
      <c r="A42" s="152"/>
      <c r="B42" s="21" t="s">
        <v>213</v>
      </c>
      <c r="C42" s="14" t="s">
        <v>125</v>
      </c>
      <c r="D42" s="14" t="s">
        <v>126</v>
      </c>
      <c r="E42" s="14" t="s">
        <v>127</v>
      </c>
      <c r="F42" s="14" t="s">
        <v>128</v>
      </c>
      <c r="G42" s="14" t="s">
        <v>129</v>
      </c>
      <c r="H42" s="14" t="s">
        <v>130</v>
      </c>
      <c r="I42" s="14" t="s">
        <v>131</v>
      </c>
      <c r="J42" s="14" t="s">
        <v>132</v>
      </c>
      <c r="K42" s="99">
        <v>5</v>
      </c>
      <c r="L42" s="109" t="s">
        <v>165</v>
      </c>
      <c r="M42" s="52">
        <f>VLOOKUP(L42,$A$61:$B$68,2,0) *K42/100</f>
        <v>5</v>
      </c>
      <c r="N42" s="103" t="s">
        <v>251</v>
      </c>
      <c r="P42" s="122" t="s">
        <v>178</v>
      </c>
      <c r="Q42" s="113"/>
      <c r="R42" s="53" t="e">
        <f>VLOOKUP(Q42,$A$61:$B$68,2,0) *K42/100</f>
        <v>#N/A</v>
      </c>
      <c r="S42" s="60"/>
    </row>
    <row r="43" spans="1:19" ht="172.95" customHeight="1" thickBot="1" x14ac:dyDescent="0.35">
      <c r="A43" s="152"/>
      <c r="B43" s="21" t="s">
        <v>214</v>
      </c>
      <c r="C43" s="14" t="s">
        <v>133</v>
      </c>
      <c r="D43" s="14" t="s">
        <v>134</v>
      </c>
      <c r="E43" s="14" t="s">
        <v>135</v>
      </c>
      <c r="F43" s="14" t="s">
        <v>136</v>
      </c>
      <c r="G43" s="14" t="s">
        <v>137</v>
      </c>
      <c r="H43" s="14" t="s">
        <v>138</v>
      </c>
      <c r="I43" s="14" t="s">
        <v>139</v>
      </c>
      <c r="J43" s="14" t="s">
        <v>140</v>
      </c>
      <c r="K43" s="99">
        <v>5</v>
      </c>
      <c r="L43" s="109" t="s">
        <v>165</v>
      </c>
      <c r="M43" s="52">
        <f>VLOOKUP(L43,$A$61:$B$68,2,0) *K43/100</f>
        <v>5</v>
      </c>
      <c r="N43" s="103" t="s">
        <v>252</v>
      </c>
      <c r="P43" s="122" t="s">
        <v>178</v>
      </c>
      <c r="Q43" s="113"/>
      <c r="R43" s="53" t="e">
        <f>VLOOKUP(Q43,$A$61:$B$68,2,0) *K43/100</f>
        <v>#N/A</v>
      </c>
      <c r="S43" s="60"/>
    </row>
    <row r="44" spans="1:19" ht="24" x14ac:dyDescent="0.3">
      <c r="A44" s="152"/>
      <c r="B44" s="31" t="s">
        <v>61</v>
      </c>
      <c r="C44" s="31" t="s">
        <v>16</v>
      </c>
      <c r="D44" s="31" t="s">
        <v>40</v>
      </c>
      <c r="E44" s="31" t="s">
        <v>41</v>
      </c>
      <c r="F44" s="31" t="s">
        <v>22</v>
      </c>
      <c r="G44" s="31" t="s">
        <v>24</v>
      </c>
      <c r="H44" s="31" t="s">
        <v>26</v>
      </c>
      <c r="I44" s="31" t="s">
        <v>28</v>
      </c>
      <c r="J44" s="31" t="s">
        <v>30</v>
      </c>
      <c r="K44" s="161">
        <f>SUM(K46,K47)</f>
        <v>10</v>
      </c>
      <c r="L44" s="158"/>
      <c r="M44" s="184">
        <f t="shared" ref="M44" si="12">SUM(M46,M47)</f>
        <v>10</v>
      </c>
      <c r="N44" s="161"/>
      <c r="P44" s="88"/>
      <c r="Q44" s="195"/>
      <c r="R44" s="187" t="e">
        <f t="shared" ref="R44" si="13">SUM(R46,R47)</f>
        <v>#N/A</v>
      </c>
      <c r="S44" s="161"/>
    </row>
    <row r="45" spans="1:19" ht="96.6" thickBot="1" x14ac:dyDescent="0.35">
      <c r="A45" s="152"/>
      <c r="B45" s="33" t="s">
        <v>141</v>
      </c>
      <c r="C45" s="35" t="s">
        <v>17</v>
      </c>
      <c r="D45" s="35" t="s">
        <v>19</v>
      </c>
      <c r="E45" s="35" t="s">
        <v>21</v>
      </c>
      <c r="F45" s="35" t="s">
        <v>23</v>
      </c>
      <c r="G45" s="35" t="s">
        <v>25</v>
      </c>
      <c r="H45" s="33" t="s">
        <v>27</v>
      </c>
      <c r="I45" s="35" t="s">
        <v>29</v>
      </c>
      <c r="J45" s="33" t="s">
        <v>31</v>
      </c>
      <c r="K45" s="159"/>
      <c r="L45" s="159"/>
      <c r="M45" s="186"/>
      <c r="N45" s="159"/>
      <c r="P45" s="90"/>
      <c r="Q45" s="196"/>
      <c r="R45" s="189"/>
      <c r="S45" s="159"/>
    </row>
    <row r="46" spans="1:19" ht="202.95" customHeight="1" thickBot="1" x14ac:dyDescent="0.35">
      <c r="A46" s="152"/>
      <c r="B46" s="21" t="s">
        <v>215</v>
      </c>
      <c r="C46" s="14" t="s">
        <v>142</v>
      </c>
      <c r="D46" s="14" t="s">
        <v>143</v>
      </c>
      <c r="E46" s="14" t="s">
        <v>144</v>
      </c>
      <c r="F46" s="14" t="s">
        <v>145</v>
      </c>
      <c r="G46" s="14" t="s">
        <v>198</v>
      </c>
      <c r="H46" s="14" t="s">
        <v>199</v>
      </c>
      <c r="I46" s="14" t="s">
        <v>200</v>
      </c>
      <c r="J46" s="14" t="s">
        <v>201</v>
      </c>
      <c r="K46" s="16">
        <v>5</v>
      </c>
      <c r="L46" s="108" t="s">
        <v>165</v>
      </c>
      <c r="M46" s="94">
        <f>VLOOKUP(L46,$A$61:$B$68,2,0) *K46/100</f>
        <v>5</v>
      </c>
      <c r="N46" s="107"/>
      <c r="P46" s="127" t="s">
        <v>176</v>
      </c>
      <c r="Q46" s="113"/>
      <c r="R46" s="53" t="e">
        <f>VLOOKUP(Q46,$A$61:$B$68,2,0) *K46/100</f>
        <v>#N/A</v>
      </c>
      <c r="S46" s="58"/>
    </row>
    <row r="47" spans="1:19" ht="336.6" thickBot="1" x14ac:dyDescent="0.35">
      <c r="A47" s="153"/>
      <c r="B47" s="21" t="s">
        <v>216</v>
      </c>
      <c r="C47" s="17" t="s">
        <v>146</v>
      </c>
      <c r="D47" s="17" t="s">
        <v>147</v>
      </c>
      <c r="E47" s="17" t="s">
        <v>148</v>
      </c>
      <c r="F47" s="17" t="s">
        <v>149</v>
      </c>
      <c r="G47" s="17" t="s">
        <v>202</v>
      </c>
      <c r="H47" s="17" t="s">
        <v>150</v>
      </c>
      <c r="I47" s="17" t="s">
        <v>203</v>
      </c>
      <c r="J47" s="17" t="s">
        <v>204</v>
      </c>
      <c r="K47" s="43">
        <v>5</v>
      </c>
      <c r="L47" s="110" t="s">
        <v>165</v>
      </c>
      <c r="M47" s="52">
        <f>VLOOKUP(L47,$A$61:$B$68,2,0) *K47/100</f>
        <v>5</v>
      </c>
      <c r="N47" s="105"/>
      <c r="P47" s="124" t="s">
        <v>176</v>
      </c>
      <c r="Q47" s="113"/>
      <c r="R47" s="52" t="e">
        <f>VLOOKUP(Q47,$A$61:$B$68,2,0) *K47/100</f>
        <v>#N/A</v>
      </c>
      <c r="S47" s="63"/>
    </row>
    <row r="61" spans="1:4" x14ac:dyDescent="0.3">
      <c r="A61" s="50" t="s">
        <v>165</v>
      </c>
      <c r="B61" s="50">
        <v>100</v>
      </c>
      <c r="D61" s="4" t="s">
        <v>218</v>
      </c>
    </row>
    <row r="62" spans="1:4" x14ac:dyDescent="0.3">
      <c r="A62" s="50" t="s">
        <v>166</v>
      </c>
      <c r="B62" s="50">
        <v>79</v>
      </c>
      <c r="D62" s="4" t="s">
        <v>219</v>
      </c>
    </row>
    <row r="63" spans="1:4" x14ac:dyDescent="0.3">
      <c r="A63" s="50" t="s">
        <v>167</v>
      </c>
      <c r="B63" s="50">
        <v>74</v>
      </c>
    </row>
    <row r="64" spans="1:4" x14ac:dyDescent="0.3">
      <c r="A64" s="50" t="s">
        <v>168</v>
      </c>
      <c r="B64" s="50">
        <v>69</v>
      </c>
    </row>
    <row r="65" spans="1:2" x14ac:dyDescent="0.3">
      <c r="A65" s="50" t="s">
        <v>169</v>
      </c>
      <c r="B65" s="50">
        <v>64</v>
      </c>
    </row>
    <row r="66" spans="1:2" x14ac:dyDescent="0.3">
      <c r="A66" s="50" t="s">
        <v>170</v>
      </c>
      <c r="B66" s="50">
        <v>59</v>
      </c>
    </row>
    <row r="67" spans="1:2" x14ac:dyDescent="0.3">
      <c r="A67" s="50" t="s">
        <v>171</v>
      </c>
      <c r="B67" s="50">
        <v>54</v>
      </c>
    </row>
    <row r="68" spans="1:2" x14ac:dyDescent="0.3">
      <c r="A68" s="50" t="s">
        <v>172</v>
      </c>
      <c r="B68" s="50">
        <v>0</v>
      </c>
    </row>
  </sheetData>
  <sheetProtection algorithmName="SHA-512" hashValue="wdlqiQyYguOIkG5PkKteVfMzwhLcJ1AJsCxwTuor+PxWs3b5wlLcXMs4InzouinzWyrtwodXfaP34VyE15Y9eg==" saltValue="JfwA3lZ92rBKDYsLeGpypg==" spinCount="100000" sheet="1" objects="1" scenarios="1"/>
  <mergeCells count="85">
    <mergeCell ref="P1:T1"/>
    <mergeCell ref="S34:S35"/>
    <mergeCell ref="S44:S45"/>
    <mergeCell ref="S4:S5"/>
    <mergeCell ref="S8:S9"/>
    <mergeCell ref="S11:S12"/>
    <mergeCell ref="S18:S19"/>
    <mergeCell ref="S21:S23"/>
    <mergeCell ref="S25:S27"/>
    <mergeCell ref="Q34:Q35"/>
    <mergeCell ref="R34:R35"/>
    <mergeCell ref="Q44:Q45"/>
    <mergeCell ref="R44:R45"/>
    <mergeCell ref="Q21:Q23"/>
    <mergeCell ref="R21:R23"/>
    <mergeCell ref="Q25:Q27"/>
    <mergeCell ref="R25:R27"/>
    <mergeCell ref="Q11:Q12"/>
    <mergeCell ref="R11:R12"/>
    <mergeCell ref="Q18:Q19"/>
    <mergeCell ref="R18:R19"/>
    <mergeCell ref="Q8:Q9"/>
    <mergeCell ref="R8:R9"/>
    <mergeCell ref="Q2:S2"/>
    <mergeCell ref="Q4:Q5"/>
    <mergeCell ref="K44:K45"/>
    <mergeCell ref="C3:K3"/>
    <mergeCell ref="M8:M9"/>
    <mergeCell ref="M11:M12"/>
    <mergeCell ref="M18:M19"/>
    <mergeCell ref="M21:M23"/>
    <mergeCell ref="M25:M27"/>
    <mergeCell ref="M34:M35"/>
    <mergeCell ref="M44:M45"/>
    <mergeCell ref="N34:N35"/>
    <mergeCell ref="K4:K5"/>
    <mergeCell ref="K8:K9"/>
    <mergeCell ref="K11:K12"/>
    <mergeCell ref="K25:K27"/>
    <mergeCell ref="K34:K35"/>
    <mergeCell ref="N11:N12"/>
    <mergeCell ref="L18:L19"/>
    <mergeCell ref="N18:N19"/>
    <mergeCell ref="L25:L27"/>
    <mergeCell ref="N25:N27"/>
    <mergeCell ref="N44:N45"/>
    <mergeCell ref="L2:N2"/>
    <mergeCell ref="L8:L9"/>
    <mergeCell ref="N8:N9"/>
    <mergeCell ref="L11:L12"/>
    <mergeCell ref="L4:L5"/>
    <mergeCell ref="L21:L23"/>
    <mergeCell ref="L34:L35"/>
    <mergeCell ref="K1:O1"/>
    <mergeCell ref="A4:A47"/>
    <mergeCell ref="B4:B5"/>
    <mergeCell ref="E4:E5"/>
    <mergeCell ref="F4:F5"/>
    <mergeCell ref="G4:G5"/>
    <mergeCell ref="B31:B32"/>
    <mergeCell ref="C31:C32"/>
    <mergeCell ref="B21:B23"/>
    <mergeCell ref="E21:E23"/>
    <mergeCell ref="F21:F23"/>
    <mergeCell ref="G21:G23"/>
    <mergeCell ref="B29:B30"/>
    <mergeCell ref="L44:L45"/>
    <mergeCell ref="N4:N5"/>
    <mergeCell ref="N21:N23"/>
    <mergeCell ref="P4:P5"/>
    <mergeCell ref="P21:P23"/>
    <mergeCell ref="P2:P3"/>
    <mergeCell ref="B18:B19"/>
    <mergeCell ref="B11:B12"/>
    <mergeCell ref="B8:B9"/>
    <mergeCell ref="C2:J2"/>
    <mergeCell ref="H4:H5"/>
    <mergeCell ref="I4:I5"/>
    <mergeCell ref="J4:J5"/>
    <mergeCell ref="J21:J23"/>
    <mergeCell ref="H21:H23"/>
    <mergeCell ref="I21:I23"/>
    <mergeCell ref="K18:K19"/>
    <mergeCell ref="K21:K23"/>
    <mergeCell ref="P10:R10"/>
  </mergeCells>
  <dataValidations count="2">
    <dataValidation type="list" allowBlank="1" showInputMessage="1" showErrorMessage="1" sqref="L29 L31 L33 L37:L39 L41:L43 L46:L47 Q46:Q47 Q41:Q43 Q37:Q39 Q33 Q31 Q29 Q20 Q14:Q17" xr:uid="{48376400-1873-7F4A-96AA-34F09250CE92}">
      <formula1>$A$61:$A$68</formula1>
    </dataValidation>
    <dataValidation type="list" allowBlank="1" showInputMessage="1" showErrorMessage="1" sqref="Q6" xr:uid="{A470CCA8-FB8C-964A-B4A8-3C92526737F7}">
      <formula1>$D$61:$D$62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การแบ่งงาน</vt:lpstr>
      <vt:lpstr>ประเมินงาน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khonpong chaotanakit</cp:lastModifiedBy>
  <dcterms:created xsi:type="dcterms:W3CDTF">2023-02-13T04:30:14Z</dcterms:created>
  <dcterms:modified xsi:type="dcterms:W3CDTF">2026-01-07T09:47:41Z</dcterms:modified>
</cp:coreProperties>
</file>